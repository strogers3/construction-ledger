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123d7b1f319f751e/Desktop/django/"/>
    </mc:Choice>
  </mc:AlternateContent>
  <xr:revisionPtr revIDLastSave="0" documentId="8_{01208645-D32D-45E5-854E-211D22EC250A}" xr6:coauthVersionLast="47" xr6:coauthVersionMax="47" xr10:uidLastSave="{00000000-0000-0000-0000-000000000000}"/>
  <bookViews>
    <workbookView xWindow="-8055" yWindow="-16320" windowWidth="29040" windowHeight="15720" xr2:uid="{6BB68A92-0340-4294-9F00-24CF9BFE9803}"/>
  </bookViews>
  <sheets>
    <sheet name="Const Actual" sheetId="1" r:id="rId1"/>
  </sheets>
  <externalReferences>
    <externalReference r:id="rId2"/>
    <externalReference r:id="rId3"/>
  </externalReferences>
  <definedNames>
    <definedName name="AllottedFunds">[1]SUMMARY!$C$16</definedName>
    <definedName name="ColumnTitle2">[1]!Data[[#Headers],[Item]]</definedName>
    <definedName name="ExTerior_CT">[1]!Data[[#Headers],[Item]]</definedName>
    <definedName name="Exterior_FR">INDEX([1]!Finances[[#All],[Amount]],ROWS([1]!Finances[[#All],[Amount]]),1)</definedName>
    <definedName name="Funds_Remaining">[1]SUMMARY!$C$19</definedName>
    <definedName name="FundsRemaining">INDEX([1]!Finances[[#All],[Amount]],ROWS([1]!Finances[[#All],[Amount]]),1)</definedName>
    <definedName name="FundsRemainingLabel">[1]SUMMARY!$B$19</definedName>
    <definedName name="FundsUsed">[1]SUMMARY!$C$18</definedName>
    <definedName name="FundsUsedLabel">[1]SUMMARY!$B$18</definedName>
    <definedName name="Supplier">OFFSET([2]Customers!$E$8,1,,COUNTA([2]Customers!$E$8:$E$1009)+1,1)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93" i="1" l="1"/>
  <c r="V793" i="1" s="1"/>
  <c r="J793" i="1"/>
  <c r="U792" i="1"/>
  <c r="V792" i="1" s="1"/>
  <c r="J792" i="1"/>
  <c r="U791" i="1"/>
  <c r="V791" i="1" s="1"/>
  <c r="J791" i="1"/>
  <c r="V790" i="1"/>
  <c r="U790" i="1"/>
  <c r="J790" i="1"/>
  <c r="V789" i="1"/>
  <c r="U789" i="1"/>
  <c r="J789" i="1"/>
  <c r="V788" i="1"/>
  <c r="U788" i="1"/>
  <c r="J788" i="1"/>
  <c r="J787" i="1"/>
  <c r="U786" i="1"/>
  <c r="V786" i="1" s="1"/>
  <c r="J786" i="1"/>
  <c r="U785" i="1"/>
  <c r="V785" i="1" s="1"/>
  <c r="J785" i="1"/>
  <c r="V784" i="1"/>
  <c r="U784" i="1"/>
  <c r="J784" i="1"/>
  <c r="V783" i="1"/>
  <c r="U783" i="1"/>
  <c r="J783" i="1"/>
  <c r="V782" i="1"/>
  <c r="U782" i="1"/>
  <c r="J782" i="1"/>
  <c r="U781" i="1"/>
  <c r="V781" i="1" s="1"/>
  <c r="J781" i="1"/>
  <c r="V780" i="1"/>
  <c r="U780" i="1"/>
  <c r="J780" i="1"/>
  <c r="U779" i="1"/>
  <c r="V779" i="1" s="1"/>
  <c r="J779" i="1"/>
  <c r="U778" i="1"/>
  <c r="V778" i="1" s="1"/>
  <c r="J778" i="1"/>
  <c r="U777" i="1"/>
  <c r="V777" i="1" s="1"/>
  <c r="J777" i="1"/>
  <c r="V776" i="1"/>
  <c r="U776" i="1"/>
  <c r="J776" i="1"/>
  <c r="U775" i="1"/>
  <c r="V775" i="1" s="1"/>
  <c r="J775" i="1"/>
  <c r="V774" i="1"/>
  <c r="U774" i="1"/>
  <c r="J774" i="1"/>
  <c r="H774" i="1"/>
  <c r="U773" i="1"/>
  <c r="V773" i="1" s="1"/>
  <c r="J773" i="1"/>
  <c r="U772" i="1"/>
  <c r="V772" i="1" s="1"/>
  <c r="J772" i="1"/>
  <c r="V771" i="1"/>
  <c r="U771" i="1"/>
  <c r="J771" i="1"/>
  <c r="U770" i="1"/>
  <c r="V770" i="1" s="1"/>
  <c r="J770" i="1"/>
  <c r="V769" i="1"/>
  <c r="U769" i="1"/>
  <c r="J769" i="1"/>
  <c r="V768" i="1"/>
  <c r="U768" i="1"/>
  <c r="J768" i="1"/>
  <c r="V767" i="1"/>
  <c r="U767" i="1"/>
  <c r="J767" i="1"/>
  <c r="U766" i="1"/>
  <c r="V766" i="1" s="1"/>
  <c r="J766" i="1"/>
  <c r="U765" i="1"/>
  <c r="V765" i="1" s="1"/>
  <c r="J765" i="1"/>
  <c r="U764" i="1"/>
  <c r="V764" i="1" s="1"/>
  <c r="J764" i="1"/>
  <c r="U763" i="1"/>
  <c r="V763" i="1" s="1"/>
  <c r="J763" i="1"/>
  <c r="U762" i="1"/>
  <c r="V762" i="1" s="1"/>
  <c r="J762" i="1"/>
  <c r="V761" i="1"/>
  <c r="U761" i="1"/>
  <c r="J761" i="1"/>
  <c r="V760" i="1"/>
  <c r="U760" i="1"/>
  <c r="J760" i="1"/>
  <c r="V759" i="1"/>
  <c r="U759" i="1"/>
  <c r="J759" i="1"/>
  <c r="U758" i="1"/>
  <c r="V758" i="1" s="1"/>
  <c r="J758" i="1"/>
  <c r="U757" i="1"/>
  <c r="V757" i="1" s="1"/>
  <c r="J757" i="1"/>
  <c r="U756" i="1"/>
  <c r="V756" i="1" s="1"/>
  <c r="J756" i="1"/>
  <c r="V755" i="1"/>
  <c r="U755" i="1"/>
  <c r="J755" i="1"/>
  <c r="U754" i="1"/>
  <c r="V754" i="1" s="1"/>
  <c r="J754" i="1"/>
  <c r="V753" i="1"/>
  <c r="U753" i="1"/>
  <c r="J753" i="1"/>
  <c r="V752" i="1"/>
  <c r="U752" i="1"/>
  <c r="I752" i="1"/>
  <c r="J752" i="1" s="1"/>
  <c r="U751" i="1"/>
  <c r="V751" i="1" s="1"/>
  <c r="J751" i="1"/>
  <c r="V750" i="1"/>
  <c r="U750" i="1"/>
  <c r="J750" i="1"/>
  <c r="V749" i="1"/>
  <c r="U749" i="1"/>
  <c r="J749" i="1"/>
  <c r="V748" i="1"/>
  <c r="U748" i="1"/>
  <c r="J748" i="1"/>
  <c r="V747" i="1"/>
  <c r="U747" i="1"/>
  <c r="J747" i="1"/>
  <c r="V746" i="1"/>
  <c r="U746" i="1"/>
  <c r="J746" i="1"/>
  <c r="U745" i="1"/>
  <c r="V745" i="1" s="1"/>
  <c r="J745" i="1"/>
  <c r="U744" i="1"/>
  <c r="V744" i="1" s="1"/>
  <c r="J744" i="1"/>
  <c r="U743" i="1"/>
  <c r="V743" i="1" s="1"/>
  <c r="J743" i="1"/>
  <c r="U742" i="1"/>
  <c r="V742" i="1" s="1"/>
  <c r="J742" i="1"/>
  <c r="V741" i="1"/>
  <c r="U741" i="1"/>
  <c r="J741" i="1"/>
  <c r="V740" i="1"/>
  <c r="U740" i="1"/>
  <c r="J740" i="1"/>
  <c r="V739" i="1"/>
  <c r="U739" i="1"/>
  <c r="J739" i="1"/>
  <c r="V738" i="1"/>
  <c r="U738" i="1"/>
  <c r="J738" i="1"/>
  <c r="U737" i="1"/>
  <c r="V737" i="1" s="1"/>
  <c r="J737" i="1"/>
  <c r="U736" i="1"/>
  <c r="V736" i="1" s="1"/>
  <c r="J736" i="1"/>
  <c r="U735" i="1"/>
  <c r="V735" i="1" s="1"/>
  <c r="J735" i="1"/>
  <c r="U734" i="1"/>
  <c r="V734" i="1" s="1"/>
  <c r="J734" i="1"/>
  <c r="U733" i="1"/>
  <c r="V733" i="1" s="1"/>
  <c r="J733" i="1"/>
  <c r="V732" i="1"/>
  <c r="U732" i="1"/>
  <c r="J732" i="1"/>
  <c r="V731" i="1"/>
  <c r="U731" i="1"/>
  <c r="J731" i="1"/>
  <c r="V730" i="1"/>
  <c r="U730" i="1"/>
  <c r="J730" i="1"/>
  <c r="U729" i="1"/>
  <c r="V729" i="1" s="1"/>
  <c r="J729" i="1"/>
  <c r="U728" i="1"/>
  <c r="V728" i="1" s="1"/>
  <c r="J728" i="1"/>
  <c r="U727" i="1"/>
  <c r="V727" i="1" s="1"/>
  <c r="J727" i="1"/>
  <c r="U726" i="1"/>
  <c r="V726" i="1" s="1"/>
  <c r="H726" i="1"/>
  <c r="J726" i="1" s="1"/>
  <c r="V725" i="1"/>
  <c r="U725" i="1"/>
  <c r="J725" i="1"/>
  <c r="U724" i="1"/>
  <c r="V724" i="1" s="1"/>
  <c r="J724" i="1"/>
  <c r="U723" i="1"/>
  <c r="V723" i="1" s="1"/>
  <c r="J723" i="1"/>
  <c r="U722" i="1"/>
  <c r="V722" i="1" s="1"/>
  <c r="J722" i="1"/>
  <c r="V721" i="1"/>
  <c r="U721" i="1"/>
  <c r="J721" i="1"/>
  <c r="V720" i="1"/>
  <c r="U720" i="1"/>
  <c r="J720" i="1"/>
  <c r="V719" i="1"/>
  <c r="U719" i="1"/>
  <c r="J719" i="1"/>
  <c r="V718" i="1"/>
  <c r="U718" i="1"/>
  <c r="J718" i="1"/>
  <c r="V717" i="1"/>
  <c r="U717" i="1"/>
  <c r="J717" i="1"/>
  <c r="U716" i="1"/>
  <c r="V716" i="1" s="1"/>
  <c r="J716" i="1"/>
  <c r="U715" i="1"/>
  <c r="V715" i="1" s="1"/>
  <c r="J715" i="1"/>
  <c r="U714" i="1"/>
  <c r="V714" i="1" s="1"/>
  <c r="J714" i="1"/>
  <c r="V713" i="1"/>
  <c r="U713" i="1"/>
  <c r="J713" i="1"/>
  <c r="V712" i="1"/>
  <c r="U712" i="1"/>
  <c r="J712" i="1"/>
  <c r="V711" i="1"/>
  <c r="U711" i="1"/>
  <c r="J711" i="1"/>
  <c r="V710" i="1"/>
  <c r="U710" i="1"/>
  <c r="J710" i="1"/>
  <c r="V709" i="1"/>
  <c r="U709" i="1"/>
  <c r="V708" i="1"/>
  <c r="U708" i="1"/>
  <c r="J708" i="1"/>
  <c r="V707" i="1"/>
  <c r="U707" i="1"/>
  <c r="J707" i="1"/>
  <c r="V706" i="1"/>
  <c r="U706" i="1"/>
  <c r="J706" i="1"/>
  <c r="U705" i="1"/>
  <c r="V705" i="1" s="1"/>
  <c r="J705" i="1"/>
  <c r="H705" i="1"/>
  <c r="U704" i="1"/>
  <c r="V704" i="1" s="1"/>
  <c r="J704" i="1"/>
  <c r="V703" i="1"/>
  <c r="U703" i="1"/>
  <c r="J703" i="1"/>
  <c r="V702" i="1"/>
  <c r="U702" i="1"/>
  <c r="J702" i="1"/>
  <c r="V701" i="1"/>
  <c r="U701" i="1"/>
  <c r="J701" i="1"/>
  <c r="U700" i="1"/>
  <c r="V700" i="1" s="1"/>
  <c r="J700" i="1"/>
  <c r="U699" i="1"/>
  <c r="V699" i="1" s="1"/>
  <c r="J699" i="1"/>
  <c r="U698" i="1"/>
  <c r="V698" i="1" s="1"/>
  <c r="J698" i="1"/>
  <c r="U697" i="1"/>
  <c r="V697" i="1" s="1"/>
  <c r="J697" i="1"/>
  <c r="U696" i="1"/>
  <c r="V696" i="1" s="1"/>
  <c r="J696" i="1"/>
  <c r="V695" i="1"/>
  <c r="U695" i="1"/>
  <c r="J695" i="1"/>
  <c r="V694" i="1"/>
  <c r="U694" i="1"/>
  <c r="J694" i="1"/>
  <c r="V693" i="1"/>
  <c r="U693" i="1"/>
  <c r="J693" i="1"/>
  <c r="U692" i="1"/>
  <c r="V692" i="1" s="1"/>
  <c r="J692" i="1"/>
  <c r="U691" i="1"/>
  <c r="V691" i="1" s="1"/>
  <c r="J691" i="1"/>
  <c r="U690" i="1"/>
  <c r="V690" i="1" s="1"/>
  <c r="H690" i="1"/>
  <c r="J690" i="1" s="1"/>
  <c r="V689" i="1"/>
  <c r="U689" i="1"/>
  <c r="J689" i="1"/>
  <c r="V688" i="1"/>
  <c r="U688" i="1"/>
  <c r="J688" i="1"/>
  <c r="U687" i="1"/>
  <c r="V687" i="1" s="1"/>
  <c r="J687" i="1"/>
  <c r="U686" i="1"/>
  <c r="V686" i="1" s="1"/>
  <c r="J686" i="1"/>
  <c r="U685" i="1"/>
  <c r="V685" i="1" s="1"/>
  <c r="J685" i="1"/>
  <c r="U684" i="1"/>
  <c r="V684" i="1" s="1"/>
  <c r="J684" i="1"/>
  <c r="V683" i="1"/>
  <c r="U683" i="1"/>
  <c r="J683" i="1"/>
  <c r="V682" i="1"/>
  <c r="U682" i="1"/>
  <c r="J682" i="1"/>
  <c r="V681" i="1"/>
  <c r="U681" i="1"/>
  <c r="J681" i="1"/>
  <c r="V680" i="1"/>
  <c r="U680" i="1"/>
  <c r="J680" i="1"/>
  <c r="U679" i="1"/>
  <c r="V679" i="1" s="1"/>
  <c r="J679" i="1"/>
  <c r="U678" i="1"/>
  <c r="V678" i="1" s="1"/>
  <c r="J678" i="1"/>
  <c r="U677" i="1"/>
  <c r="V677" i="1" s="1"/>
  <c r="J677" i="1"/>
  <c r="U676" i="1"/>
  <c r="V676" i="1" s="1"/>
  <c r="J676" i="1"/>
  <c r="U675" i="1"/>
  <c r="V675" i="1" s="1"/>
  <c r="J675" i="1"/>
  <c r="V674" i="1"/>
  <c r="U674" i="1"/>
  <c r="J674" i="1"/>
  <c r="V673" i="1"/>
  <c r="U673" i="1"/>
  <c r="J673" i="1"/>
  <c r="V672" i="1"/>
  <c r="U672" i="1"/>
  <c r="J672" i="1"/>
  <c r="U671" i="1"/>
  <c r="V671" i="1" s="1"/>
  <c r="J671" i="1"/>
  <c r="U670" i="1"/>
  <c r="V670" i="1" s="1"/>
  <c r="J670" i="1"/>
  <c r="U669" i="1"/>
  <c r="V669" i="1" s="1"/>
  <c r="U668" i="1"/>
  <c r="V668" i="1" s="1"/>
  <c r="J668" i="1"/>
  <c r="U667" i="1"/>
  <c r="V667" i="1" s="1"/>
  <c r="J667" i="1"/>
  <c r="H667" i="1"/>
  <c r="V666" i="1"/>
  <c r="U666" i="1"/>
  <c r="H666" i="1"/>
  <c r="J666" i="1" s="1"/>
  <c r="U665" i="1"/>
  <c r="V665" i="1" s="1"/>
  <c r="J665" i="1"/>
  <c r="H665" i="1"/>
  <c r="V664" i="1"/>
  <c r="U664" i="1"/>
  <c r="J664" i="1"/>
  <c r="V663" i="1"/>
  <c r="U663" i="1"/>
  <c r="J663" i="1"/>
  <c r="V662" i="1"/>
  <c r="U662" i="1"/>
  <c r="J662" i="1"/>
  <c r="U661" i="1"/>
  <c r="V661" i="1" s="1"/>
  <c r="J661" i="1"/>
  <c r="H661" i="1"/>
  <c r="V660" i="1"/>
  <c r="U660" i="1"/>
  <c r="J660" i="1"/>
  <c r="V659" i="1"/>
  <c r="U659" i="1"/>
  <c r="J659" i="1"/>
  <c r="V658" i="1"/>
  <c r="U658" i="1"/>
  <c r="J658" i="1"/>
  <c r="V657" i="1"/>
  <c r="U657" i="1"/>
  <c r="J657" i="1"/>
  <c r="U656" i="1"/>
  <c r="V656" i="1" s="1"/>
  <c r="J656" i="1"/>
  <c r="I656" i="1"/>
  <c r="U655" i="1"/>
  <c r="V655" i="1" s="1"/>
  <c r="I655" i="1"/>
  <c r="J655" i="1" s="1"/>
  <c r="U654" i="1"/>
  <c r="V654" i="1" s="1"/>
  <c r="J654" i="1"/>
  <c r="I654" i="1"/>
  <c r="V653" i="1"/>
  <c r="U653" i="1"/>
  <c r="J653" i="1"/>
  <c r="V652" i="1"/>
  <c r="U652" i="1"/>
  <c r="J652" i="1"/>
  <c r="I652" i="1"/>
  <c r="U651" i="1"/>
  <c r="V651" i="1" s="1"/>
  <c r="J651" i="1"/>
  <c r="I651" i="1"/>
  <c r="V650" i="1"/>
  <c r="U650" i="1"/>
  <c r="J650" i="1"/>
  <c r="V649" i="1"/>
  <c r="U649" i="1"/>
  <c r="J649" i="1"/>
  <c r="V648" i="1"/>
  <c r="U648" i="1"/>
  <c r="J648" i="1"/>
  <c r="I648" i="1"/>
  <c r="U647" i="1"/>
  <c r="V647" i="1" s="1"/>
  <c r="I647" i="1"/>
  <c r="J647" i="1" s="1"/>
  <c r="V646" i="1"/>
  <c r="U646" i="1"/>
  <c r="J646" i="1"/>
  <c r="I646" i="1"/>
  <c r="V645" i="1"/>
  <c r="U645" i="1"/>
  <c r="J645" i="1"/>
  <c r="V644" i="1"/>
  <c r="U644" i="1"/>
  <c r="J644" i="1"/>
  <c r="V643" i="1"/>
  <c r="U643" i="1"/>
  <c r="J643" i="1"/>
  <c r="V642" i="1"/>
  <c r="U642" i="1"/>
  <c r="J642" i="1"/>
  <c r="V641" i="1"/>
  <c r="U641" i="1"/>
  <c r="J641" i="1"/>
  <c r="U640" i="1"/>
  <c r="V640" i="1" s="1"/>
  <c r="J640" i="1"/>
  <c r="U639" i="1"/>
  <c r="V639" i="1" s="1"/>
  <c r="J639" i="1"/>
  <c r="I639" i="1"/>
  <c r="V638" i="1"/>
  <c r="U638" i="1"/>
  <c r="J638" i="1"/>
  <c r="V637" i="1"/>
  <c r="U637" i="1"/>
  <c r="H637" i="1"/>
  <c r="J637" i="1" s="1"/>
  <c r="U636" i="1"/>
  <c r="V636" i="1" s="1"/>
  <c r="H636" i="1"/>
  <c r="J636" i="1" s="1"/>
  <c r="V635" i="1"/>
  <c r="U635" i="1"/>
  <c r="H635" i="1"/>
  <c r="J635" i="1" s="1"/>
  <c r="U634" i="1"/>
  <c r="V634" i="1" s="1"/>
  <c r="H634" i="1"/>
  <c r="J634" i="1" s="1"/>
  <c r="V633" i="1"/>
  <c r="U633" i="1"/>
  <c r="J633" i="1"/>
  <c r="I633" i="1"/>
  <c r="U632" i="1"/>
  <c r="V632" i="1" s="1"/>
  <c r="I632" i="1"/>
  <c r="J632" i="1" s="1"/>
  <c r="V631" i="1"/>
  <c r="U631" i="1"/>
  <c r="J631" i="1"/>
  <c r="I631" i="1"/>
  <c r="H631" i="1"/>
  <c r="V630" i="1"/>
  <c r="U630" i="1"/>
  <c r="J630" i="1"/>
  <c r="I630" i="1"/>
  <c r="U629" i="1"/>
  <c r="V629" i="1" s="1"/>
  <c r="J629" i="1"/>
  <c r="U628" i="1"/>
  <c r="V628" i="1" s="1"/>
  <c r="J628" i="1"/>
  <c r="U627" i="1"/>
  <c r="V627" i="1" s="1"/>
  <c r="J627" i="1"/>
  <c r="U626" i="1"/>
  <c r="V626" i="1" s="1"/>
  <c r="J626" i="1"/>
  <c r="V625" i="1"/>
  <c r="U625" i="1"/>
  <c r="J625" i="1"/>
  <c r="V624" i="1"/>
  <c r="U624" i="1"/>
  <c r="J624" i="1"/>
  <c r="V623" i="1"/>
  <c r="U623" i="1"/>
  <c r="J623" i="1"/>
  <c r="U622" i="1"/>
  <c r="V622" i="1" s="1"/>
  <c r="J622" i="1"/>
  <c r="U621" i="1"/>
  <c r="V621" i="1" s="1"/>
  <c r="J621" i="1"/>
  <c r="U620" i="1"/>
  <c r="V620" i="1" s="1"/>
  <c r="I620" i="1"/>
  <c r="J620" i="1" s="1"/>
  <c r="V619" i="1"/>
  <c r="U619" i="1"/>
  <c r="J619" i="1"/>
  <c r="I619" i="1"/>
  <c r="U618" i="1"/>
  <c r="V618" i="1" s="1"/>
  <c r="J618" i="1"/>
  <c r="U617" i="1"/>
  <c r="V617" i="1" s="1"/>
  <c r="J617" i="1"/>
  <c r="U616" i="1"/>
  <c r="V616" i="1" s="1"/>
  <c r="J616" i="1"/>
  <c r="V615" i="1"/>
  <c r="U615" i="1"/>
  <c r="J615" i="1"/>
  <c r="V614" i="1"/>
  <c r="U614" i="1"/>
  <c r="J614" i="1"/>
  <c r="V613" i="1"/>
  <c r="U613" i="1"/>
  <c r="J613" i="1"/>
  <c r="U612" i="1"/>
  <c r="V612" i="1" s="1"/>
  <c r="J612" i="1"/>
  <c r="I612" i="1"/>
  <c r="V611" i="1"/>
  <c r="U611" i="1"/>
  <c r="J611" i="1"/>
  <c r="V610" i="1"/>
  <c r="U610" i="1"/>
  <c r="J610" i="1"/>
  <c r="I610" i="1"/>
  <c r="U609" i="1"/>
  <c r="V609" i="1" s="1"/>
  <c r="J609" i="1"/>
  <c r="U608" i="1"/>
  <c r="V608" i="1" s="1"/>
  <c r="I608" i="1"/>
  <c r="J608" i="1" s="1"/>
  <c r="V607" i="1"/>
  <c r="U607" i="1"/>
  <c r="J607" i="1"/>
  <c r="V606" i="1"/>
  <c r="U606" i="1"/>
  <c r="J606" i="1"/>
  <c r="U605" i="1"/>
  <c r="V605" i="1" s="1"/>
  <c r="J605" i="1"/>
  <c r="U604" i="1"/>
  <c r="V604" i="1" s="1"/>
  <c r="J604" i="1"/>
  <c r="U603" i="1"/>
  <c r="V603" i="1" s="1"/>
  <c r="H603" i="1"/>
  <c r="J603" i="1" s="1"/>
  <c r="V602" i="1"/>
  <c r="U602" i="1"/>
  <c r="H602" i="1"/>
  <c r="J602" i="1" s="1"/>
  <c r="U601" i="1"/>
  <c r="V601" i="1" s="1"/>
  <c r="J601" i="1"/>
  <c r="V600" i="1"/>
  <c r="U600" i="1"/>
  <c r="J600" i="1"/>
  <c r="V599" i="1"/>
  <c r="U599" i="1"/>
  <c r="J599" i="1"/>
  <c r="V598" i="1"/>
  <c r="U598" i="1"/>
  <c r="J598" i="1"/>
  <c r="I598" i="1"/>
  <c r="U597" i="1"/>
  <c r="V597" i="1" s="1"/>
  <c r="J597" i="1"/>
  <c r="I597" i="1"/>
  <c r="V596" i="1"/>
  <c r="U596" i="1"/>
  <c r="J596" i="1"/>
  <c r="V595" i="1"/>
  <c r="U595" i="1"/>
  <c r="J595" i="1"/>
  <c r="V594" i="1"/>
  <c r="U594" i="1"/>
  <c r="J594" i="1"/>
  <c r="U593" i="1"/>
  <c r="V593" i="1" s="1"/>
  <c r="J593" i="1"/>
  <c r="H593" i="1"/>
  <c r="U592" i="1"/>
  <c r="V592" i="1" s="1"/>
  <c r="J592" i="1"/>
  <c r="V591" i="1"/>
  <c r="U591" i="1"/>
  <c r="J591" i="1"/>
  <c r="V590" i="1"/>
  <c r="U590" i="1"/>
  <c r="H590" i="1"/>
  <c r="J590" i="1" s="1"/>
  <c r="U589" i="1"/>
  <c r="V589" i="1" s="1"/>
  <c r="J589" i="1"/>
  <c r="V588" i="1"/>
  <c r="U588" i="1"/>
  <c r="J588" i="1"/>
  <c r="V587" i="1"/>
  <c r="U587" i="1"/>
  <c r="I587" i="1"/>
  <c r="J587" i="1" s="1"/>
  <c r="U586" i="1"/>
  <c r="V586" i="1" s="1"/>
  <c r="J586" i="1"/>
  <c r="U585" i="1"/>
  <c r="V585" i="1" s="1"/>
  <c r="J585" i="1"/>
  <c r="U584" i="1"/>
  <c r="V584" i="1" s="1"/>
  <c r="I584" i="1"/>
  <c r="J584" i="1" s="1"/>
  <c r="V583" i="1"/>
  <c r="U583" i="1"/>
  <c r="J583" i="1"/>
  <c r="V582" i="1"/>
  <c r="U582" i="1"/>
  <c r="J582" i="1"/>
  <c r="U581" i="1"/>
  <c r="V581" i="1" s="1"/>
  <c r="J581" i="1"/>
  <c r="U580" i="1"/>
  <c r="V580" i="1" s="1"/>
  <c r="J580" i="1"/>
  <c r="U579" i="1"/>
  <c r="V579" i="1" s="1"/>
  <c r="J579" i="1"/>
  <c r="V578" i="1"/>
  <c r="U578" i="1"/>
  <c r="I578" i="1"/>
  <c r="J578" i="1" s="1"/>
  <c r="V577" i="1"/>
  <c r="U577" i="1"/>
  <c r="J577" i="1"/>
  <c r="U576" i="1"/>
  <c r="V576" i="1" s="1"/>
  <c r="J576" i="1"/>
  <c r="U575" i="1"/>
  <c r="V575" i="1" s="1"/>
  <c r="J575" i="1"/>
  <c r="U574" i="1"/>
  <c r="V574" i="1" s="1"/>
  <c r="J574" i="1"/>
  <c r="U573" i="1"/>
  <c r="V573" i="1" s="1"/>
  <c r="J573" i="1"/>
  <c r="U572" i="1"/>
  <c r="V572" i="1" s="1"/>
  <c r="J572" i="1"/>
  <c r="V571" i="1"/>
  <c r="U571" i="1"/>
  <c r="J571" i="1"/>
  <c r="V570" i="1"/>
  <c r="U570" i="1"/>
  <c r="I570" i="1"/>
  <c r="J570" i="1" s="1"/>
  <c r="U569" i="1"/>
  <c r="V569" i="1" s="1"/>
  <c r="J569" i="1"/>
  <c r="V568" i="1"/>
  <c r="U568" i="1"/>
  <c r="J568" i="1"/>
  <c r="V567" i="1"/>
  <c r="U567" i="1"/>
  <c r="I567" i="1"/>
  <c r="H567" i="1"/>
  <c r="U566" i="1"/>
  <c r="V566" i="1" s="1"/>
  <c r="I566" i="1"/>
  <c r="J566" i="1" s="1"/>
  <c r="V565" i="1"/>
  <c r="U565" i="1"/>
  <c r="J565" i="1"/>
  <c r="I565" i="1"/>
  <c r="U564" i="1"/>
  <c r="V564" i="1" s="1"/>
  <c r="I564" i="1"/>
  <c r="J564" i="1" s="1"/>
  <c r="V563" i="1"/>
  <c r="U563" i="1"/>
  <c r="J563" i="1"/>
  <c r="I563" i="1"/>
  <c r="V562" i="1"/>
  <c r="U562" i="1"/>
  <c r="I562" i="1"/>
  <c r="J562" i="1" s="1"/>
  <c r="V561" i="1"/>
  <c r="U561" i="1"/>
  <c r="J561" i="1"/>
  <c r="U560" i="1"/>
  <c r="V560" i="1" s="1"/>
  <c r="J560" i="1"/>
  <c r="U559" i="1"/>
  <c r="V559" i="1" s="1"/>
  <c r="J559" i="1"/>
  <c r="H559" i="1"/>
  <c r="V558" i="1"/>
  <c r="U558" i="1"/>
  <c r="J558" i="1"/>
  <c r="H558" i="1"/>
  <c r="U557" i="1"/>
  <c r="V557" i="1" s="1"/>
  <c r="J557" i="1"/>
  <c r="U556" i="1"/>
  <c r="V556" i="1" s="1"/>
  <c r="I556" i="1"/>
  <c r="J556" i="1" s="1"/>
  <c r="V555" i="1"/>
  <c r="U555" i="1"/>
  <c r="J555" i="1"/>
  <c r="I555" i="1"/>
  <c r="U554" i="1"/>
  <c r="V554" i="1" s="1"/>
  <c r="J554" i="1"/>
  <c r="U553" i="1"/>
  <c r="V553" i="1" s="1"/>
  <c r="I553" i="1"/>
  <c r="J553" i="1" s="1"/>
  <c r="V552" i="1"/>
  <c r="U552" i="1"/>
  <c r="J552" i="1"/>
  <c r="U551" i="1"/>
  <c r="V551" i="1" s="1"/>
  <c r="J551" i="1"/>
  <c r="H551" i="1"/>
  <c r="I551" i="1" s="1"/>
  <c r="V550" i="1"/>
  <c r="U550" i="1"/>
  <c r="J550" i="1"/>
  <c r="U549" i="1"/>
  <c r="V549" i="1" s="1"/>
  <c r="J549" i="1"/>
  <c r="U548" i="1"/>
  <c r="V548" i="1" s="1"/>
  <c r="J548" i="1"/>
  <c r="U547" i="1"/>
  <c r="V547" i="1" s="1"/>
  <c r="I547" i="1"/>
  <c r="J547" i="1" s="1"/>
  <c r="V546" i="1"/>
  <c r="U546" i="1"/>
  <c r="J546" i="1"/>
  <c r="I546" i="1"/>
  <c r="U545" i="1"/>
  <c r="V545" i="1" s="1"/>
  <c r="J545" i="1"/>
  <c r="U544" i="1"/>
  <c r="V544" i="1" s="1"/>
  <c r="I544" i="1"/>
  <c r="H544" i="1"/>
  <c r="U543" i="1"/>
  <c r="V543" i="1" s="1"/>
  <c r="I543" i="1"/>
  <c r="J543" i="1" s="1"/>
  <c r="V542" i="1"/>
  <c r="U542" i="1"/>
  <c r="I542" i="1"/>
  <c r="J542" i="1" s="1"/>
  <c r="U541" i="1"/>
  <c r="V541" i="1" s="1"/>
  <c r="J541" i="1"/>
  <c r="V540" i="1"/>
  <c r="U540" i="1"/>
  <c r="J540" i="1"/>
  <c r="V539" i="1"/>
  <c r="U539" i="1"/>
  <c r="J539" i="1"/>
  <c r="V538" i="1"/>
  <c r="U538" i="1"/>
  <c r="J538" i="1"/>
  <c r="V537" i="1"/>
  <c r="U537" i="1"/>
  <c r="J537" i="1"/>
  <c r="V536" i="1"/>
  <c r="U536" i="1"/>
  <c r="J536" i="1"/>
  <c r="U535" i="1"/>
  <c r="V535" i="1" s="1"/>
  <c r="J535" i="1"/>
  <c r="U534" i="1"/>
  <c r="V534" i="1" s="1"/>
  <c r="J534" i="1"/>
  <c r="U533" i="1"/>
  <c r="V533" i="1" s="1"/>
  <c r="I533" i="1"/>
  <c r="J533" i="1" s="1"/>
  <c r="V532" i="1"/>
  <c r="U532" i="1"/>
  <c r="I532" i="1"/>
  <c r="J532" i="1" s="1"/>
  <c r="U531" i="1"/>
  <c r="V531" i="1" s="1"/>
  <c r="I531" i="1"/>
  <c r="J531" i="1" s="1"/>
  <c r="V530" i="1"/>
  <c r="U530" i="1"/>
  <c r="I530" i="1"/>
  <c r="J530" i="1" s="1"/>
  <c r="U529" i="1"/>
  <c r="V529" i="1" s="1"/>
  <c r="J529" i="1"/>
  <c r="V528" i="1"/>
  <c r="U528" i="1"/>
  <c r="J528" i="1"/>
  <c r="U527" i="1"/>
  <c r="V527" i="1" s="1"/>
  <c r="J527" i="1"/>
  <c r="V526" i="1"/>
  <c r="U526" i="1"/>
  <c r="J526" i="1"/>
  <c r="V525" i="1"/>
  <c r="U525" i="1"/>
  <c r="J525" i="1"/>
  <c r="V524" i="1"/>
  <c r="U524" i="1"/>
  <c r="J524" i="1"/>
  <c r="U523" i="1"/>
  <c r="V523" i="1" s="1"/>
  <c r="J523" i="1"/>
  <c r="U522" i="1"/>
  <c r="V522" i="1" s="1"/>
  <c r="J522" i="1"/>
  <c r="U521" i="1"/>
  <c r="V521" i="1" s="1"/>
  <c r="I521" i="1"/>
  <c r="J521" i="1" s="1"/>
  <c r="V520" i="1"/>
  <c r="U520" i="1"/>
  <c r="J520" i="1"/>
  <c r="V519" i="1"/>
  <c r="U519" i="1"/>
  <c r="J519" i="1"/>
  <c r="U518" i="1"/>
  <c r="V518" i="1" s="1"/>
  <c r="J518" i="1"/>
  <c r="U517" i="1"/>
  <c r="V517" i="1" s="1"/>
  <c r="J517" i="1"/>
  <c r="U516" i="1"/>
  <c r="V516" i="1" s="1"/>
  <c r="J516" i="1"/>
  <c r="U515" i="1"/>
  <c r="V515" i="1" s="1"/>
  <c r="J515" i="1"/>
  <c r="U514" i="1"/>
  <c r="V514" i="1" s="1"/>
  <c r="J514" i="1"/>
  <c r="V513" i="1"/>
  <c r="U513" i="1"/>
  <c r="J513" i="1"/>
  <c r="V512" i="1"/>
  <c r="U512" i="1"/>
  <c r="J512" i="1"/>
  <c r="V511" i="1"/>
  <c r="U511" i="1"/>
  <c r="J511" i="1"/>
  <c r="H511" i="1"/>
  <c r="U510" i="1"/>
  <c r="V510" i="1" s="1"/>
  <c r="H510" i="1"/>
  <c r="J510" i="1" s="1"/>
  <c r="V509" i="1"/>
  <c r="U509" i="1"/>
  <c r="J509" i="1"/>
  <c r="U508" i="1"/>
  <c r="V508" i="1" s="1"/>
  <c r="J508" i="1"/>
  <c r="U507" i="1"/>
  <c r="V507" i="1" s="1"/>
  <c r="J507" i="1"/>
  <c r="H507" i="1"/>
  <c r="V506" i="1"/>
  <c r="U506" i="1"/>
  <c r="J506" i="1"/>
  <c r="V505" i="1"/>
  <c r="U505" i="1"/>
  <c r="J505" i="1"/>
  <c r="V504" i="1"/>
  <c r="U504" i="1"/>
  <c r="J504" i="1"/>
  <c r="U503" i="1"/>
  <c r="V503" i="1" s="1"/>
  <c r="J503" i="1"/>
  <c r="U502" i="1"/>
  <c r="V502" i="1" s="1"/>
  <c r="J502" i="1"/>
  <c r="U501" i="1"/>
  <c r="V501" i="1" s="1"/>
  <c r="J501" i="1"/>
  <c r="U500" i="1"/>
  <c r="V500" i="1" s="1"/>
  <c r="J500" i="1"/>
  <c r="U499" i="1"/>
  <c r="V499" i="1" s="1"/>
  <c r="I499" i="1"/>
  <c r="J499" i="1" s="1"/>
  <c r="H499" i="1"/>
  <c r="V498" i="1"/>
  <c r="U498" i="1"/>
  <c r="J498" i="1"/>
  <c r="V497" i="1"/>
  <c r="U497" i="1"/>
  <c r="I497" i="1"/>
  <c r="J497" i="1" s="1"/>
  <c r="H497" i="1"/>
  <c r="U496" i="1"/>
  <c r="V496" i="1" s="1"/>
  <c r="J496" i="1"/>
  <c r="U495" i="1"/>
  <c r="V495" i="1" s="1"/>
  <c r="J495" i="1"/>
  <c r="V494" i="1"/>
  <c r="U494" i="1"/>
  <c r="J494" i="1"/>
  <c r="V493" i="1"/>
  <c r="U493" i="1"/>
  <c r="J493" i="1"/>
  <c r="V492" i="1"/>
  <c r="U492" i="1"/>
  <c r="J492" i="1"/>
  <c r="U491" i="1"/>
  <c r="V491" i="1" s="1"/>
  <c r="J491" i="1"/>
  <c r="U490" i="1"/>
  <c r="V490" i="1" s="1"/>
  <c r="J490" i="1"/>
  <c r="U489" i="1"/>
  <c r="V489" i="1" s="1"/>
  <c r="J489" i="1"/>
  <c r="U488" i="1"/>
  <c r="V488" i="1" s="1"/>
  <c r="J488" i="1"/>
  <c r="U487" i="1"/>
  <c r="V487" i="1" s="1"/>
  <c r="J487" i="1"/>
  <c r="V486" i="1"/>
  <c r="U486" i="1"/>
  <c r="J486" i="1"/>
  <c r="V485" i="1"/>
  <c r="U485" i="1"/>
  <c r="J485" i="1"/>
  <c r="V484" i="1"/>
  <c r="U484" i="1"/>
  <c r="J484" i="1"/>
  <c r="U483" i="1"/>
  <c r="V483" i="1" s="1"/>
  <c r="J483" i="1"/>
  <c r="U482" i="1"/>
  <c r="V482" i="1" s="1"/>
  <c r="J482" i="1"/>
  <c r="U481" i="1"/>
  <c r="V481" i="1" s="1"/>
  <c r="J481" i="1"/>
  <c r="U480" i="1"/>
  <c r="V480" i="1" s="1"/>
  <c r="J480" i="1"/>
  <c r="U479" i="1"/>
  <c r="V479" i="1" s="1"/>
  <c r="J479" i="1"/>
  <c r="V478" i="1"/>
  <c r="U478" i="1"/>
  <c r="J478" i="1"/>
  <c r="V477" i="1"/>
  <c r="U477" i="1"/>
  <c r="J477" i="1"/>
  <c r="V476" i="1"/>
  <c r="U476" i="1"/>
  <c r="J476" i="1"/>
  <c r="U475" i="1"/>
  <c r="V475" i="1" s="1"/>
  <c r="J475" i="1"/>
  <c r="U474" i="1"/>
  <c r="V474" i="1" s="1"/>
  <c r="J474" i="1"/>
  <c r="U473" i="1"/>
  <c r="V473" i="1" s="1"/>
  <c r="I473" i="1"/>
  <c r="J473" i="1" s="1"/>
  <c r="V472" i="1"/>
  <c r="U472" i="1"/>
  <c r="J472" i="1"/>
  <c r="I472" i="1"/>
  <c r="U471" i="1"/>
  <c r="V471" i="1" s="1"/>
  <c r="I471" i="1"/>
  <c r="J471" i="1" s="1"/>
  <c r="V470" i="1"/>
  <c r="U470" i="1"/>
  <c r="J470" i="1"/>
  <c r="V469" i="1"/>
  <c r="U469" i="1"/>
  <c r="J469" i="1"/>
  <c r="U468" i="1"/>
  <c r="V468" i="1" s="1"/>
  <c r="J468" i="1"/>
  <c r="U467" i="1"/>
  <c r="V467" i="1" s="1"/>
  <c r="J467" i="1"/>
  <c r="U466" i="1"/>
  <c r="V466" i="1" s="1"/>
  <c r="J466" i="1"/>
  <c r="V465" i="1"/>
  <c r="U465" i="1"/>
  <c r="J465" i="1"/>
  <c r="U464" i="1"/>
  <c r="V464" i="1" s="1"/>
  <c r="J464" i="1"/>
  <c r="V463" i="1"/>
  <c r="U463" i="1"/>
  <c r="J463" i="1"/>
  <c r="V462" i="1"/>
  <c r="U462" i="1"/>
  <c r="J462" i="1"/>
  <c r="V461" i="1"/>
  <c r="U461" i="1"/>
  <c r="J461" i="1"/>
  <c r="U460" i="1"/>
  <c r="V460" i="1" s="1"/>
  <c r="J460" i="1"/>
  <c r="U459" i="1"/>
  <c r="V459" i="1" s="1"/>
  <c r="J459" i="1"/>
  <c r="U458" i="1"/>
  <c r="V458" i="1" s="1"/>
  <c r="J458" i="1"/>
  <c r="V457" i="1"/>
  <c r="U457" i="1"/>
  <c r="J457" i="1"/>
  <c r="V456" i="1"/>
  <c r="U456" i="1"/>
  <c r="J456" i="1"/>
  <c r="V455" i="1"/>
  <c r="U455" i="1"/>
  <c r="J455" i="1"/>
  <c r="V454" i="1"/>
  <c r="U454" i="1"/>
  <c r="J454" i="1"/>
  <c r="V453" i="1"/>
  <c r="U453" i="1"/>
  <c r="J453" i="1"/>
  <c r="U452" i="1"/>
  <c r="V452" i="1" s="1"/>
  <c r="J452" i="1"/>
  <c r="U451" i="1"/>
  <c r="V451" i="1" s="1"/>
  <c r="J451" i="1"/>
  <c r="U450" i="1"/>
  <c r="V450" i="1" s="1"/>
  <c r="J450" i="1"/>
  <c r="U449" i="1"/>
  <c r="V449" i="1" s="1"/>
  <c r="J449" i="1"/>
  <c r="V448" i="1"/>
  <c r="U448" i="1"/>
  <c r="J448" i="1"/>
  <c r="V447" i="1"/>
  <c r="U447" i="1"/>
  <c r="J447" i="1"/>
  <c r="V446" i="1"/>
  <c r="U446" i="1"/>
  <c r="J446" i="1"/>
  <c r="V445" i="1"/>
  <c r="U445" i="1"/>
  <c r="J445" i="1"/>
  <c r="U444" i="1"/>
  <c r="V444" i="1" s="1"/>
  <c r="J444" i="1"/>
  <c r="U443" i="1"/>
  <c r="V443" i="1" s="1"/>
  <c r="J443" i="1"/>
  <c r="U442" i="1"/>
  <c r="V442" i="1" s="1"/>
  <c r="J442" i="1"/>
  <c r="U441" i="1"/>
  <c r="V441" i="1" s="1"/>
  <c r="J441" i="1"/>
  <c r="U440" i="1"/>
  <c r="V440" i="1" s="1"/>
  <c r="J440" i="1"/>
  <c r="V439" i="1"/>
  <c r="U439" i="1"/>
  <c r="J439" i="1"/>
  <c r="V438" i="1"/>
  <c r="U438" i="1"/>
  <c r="J438" i="1"/>
  <c r="V437" i="1"/>
  <c r="U437" i="1"/>
  <c r="J437" i="1"/>
  <c r="U436" i="1"/>
  <c r="V436" i="1" s="1"/>
  <c r="J436" i="1"/>
  <c r="U435" i="1"/>
  <c r="V435" i="1" s="1"/>
  <c r="J435" i="1"/>
  <c r="U434" i="1"/>
  <c r="V434" i="1" s="1"/>
  <c r="J434" i="1"/>
  <c r="U433" i="1"/>
  <c r="V433" i="1" s="1"/>
  <c r="J433" i="1"/>
  <c r="U432" i="1"/>
  <c r="V432" i="1" s="1"/>
  <c r="J432" i="1"/>
  <c r="V431" i="1"/>
  <c r="U431" i="1"/>
  <c r="J431" i="1"/>
  <c r="V430" i="1"/>
  <c r="U430" i="1"/>
  <c r="J430" i="1"/>
  <c r="V429" i="1"/>
  <c r="U429" i="1"/>
  <c r="V428" i="1"/>
  <c r="U428" i="1"/>
  <c r="U427" i="1"/>
  <c r="V427" i="1" s="1"/>
  <c r="U426" i="1"/>
  <c r="V426" i="1" s="1"/>
  <c r="J426" i="1"/>
  <c r="U425" i="1"/>
  <c r="V425" i="1" s="1"/>
  <c r="J425" i="1"/>
  <c r="U424" i="1"/>
  <c r="V424" i="1" s="1"/>
  <c r="J424" i="1"/>
  <c r="V423" i="1"/>
  <c r="U423" i="1"/>
  <c r="J423" i="1"/>
  <c r="V422" i="1"/>
  <c r="U422" i="1"/>
  <c r="J422" i="1"/>
  <c r="V421" i="1"/>
  <c r="U421" i="1"/>
  <c r="J421" i="1"/>
  <c r="V420" i="1"/>
  <c r="U420" i="1"/>
  <c r="J420" i="1"/>
  <c r="U419" i="1"/>
  <c r="V419" i="1" s="1"/>
  <c r="J419" i="1"/>
  <c r="U418" i="1"/>
  <c r="V418" i="1" s="1"/>
  <c r="J418" i="1"/>
  <c r="U417" i="1"/>
  <c r="V417" i="1" s="1"/>
  <c r="J417" i="1"/>
  <c r="U416" i="1"/>
  <c r="V416" i="1" s="1"/>
  <c r="J416" i="1"/>
  <c r="U415" i="1"/>
  <c r="V415" i="1" s="1"/>
  <c r="J415" i="1"/>
  <c r="V414" i="1"/>
  <c r="U414" i="1"/>
  <c r="J414" i="1"/>
  <c r="V413" i="1"/>
  <c r="U413" i="1"/>
  <c r="J413" i="1"/>
  <c r="V412" i="1"/>
  <c r="U412" i="1"/>
  <c r="J412" i="1"/>
  <c r="U411" i="1"/>
  <c r="V411" i="1" s="1"/>
  <c r="J411" i="1"/>
  <c r="U410" i="1"/>
  <c r="V410" i="1" s="1"/>
  <c r="J410" i="1"/>
  <c r="U409" i="1"/>
  <c r="V409" i="1" s="1"/>
  <c r="J409" i="1"/>
  <c r="U408" i="1"/>
  <c r="V408" i="1" s="1"/>
  <c r="J408" i="1"/>
  <c r="U407" i="1"/>
  <c r="V407" i="1" s="1"/>
  <c r="J407" i="1"/>
  <c r="V406" i="1"/>
  <c r="U406" i="1"/>
  <c r="J406" i="1"/>
  <c r="V405" i="1"/>
  <c r="U405" i="1"/>
  <c r="J405" i="1"/>
  <c r="V404" i="1"/>
  <c r="U404" i="1"/>
  <c r="J404" i="1"/>
  <c r="U403" i="1"/>
  <c r="V403" i="1" s="1"/>
  <c r="J403" i="1"/>
  <c r="U402" i="1"/>
  <c r="V402" i="1" s="1"/>
  <c r="J402" i="1"/>
  <c r="U401" i="1"/>
  <c r="V401" i="1" s="1"/>
  <c r="J401" i="1"/>
  <c r="U400" i="1"/>
  <c r="V400" i="1" s="1"/>
  <c r="J400" i="1"/>
  <c r="U399" i="1"/>
  <c r="V399" i="1" s="1"/>
  <c r="J399" i="1"/>
  <c r="V398" i="1"/>
  <c r="U398" i="1"/>
  <c r="J398" i="1"/>
  <c r="V397" i="1"/>
  <c r="U397" i="1"/>
  <c r="J397" i="1"/>
  <c r="V396" i="1"/>
  <c r="U396" i="1"/>
  <c r="J396" i="1"/>
  <c r="U395" i="1"/>
  <c r="V395" i="1" s="1"/>
  <c r="J395" i="1"/>
  <c r="U394" i="1"/>
  <c r="V394" i="1" s="1"/>
  <c r="J394" i="1"/>
  <c r="U393" i="1"/>
  <c r="V393" i="1" s="1"/>
  <c r="J393" i="1"/>
  <c r="V392" i="1"/>
  <c r="U392" i="1"/>
  <c r="J392" i="1"/>
  <c r="U391" i="1"/>
  <c r="V391" i="1" s="1"/>
  <c r="J391" i="1"/>
  <c r="V390" i="1"/>
  <c r="U390" i="1"/>
  <c r="J390" i="1"/>
  <c r="V389" i="1"/>
  <c r="U389" i="1"/>
  <c r="J389" i="1"/>
  <c r="V388" i="1"/>
  <c r="U388" i="1"/>
  <c r="J388" i="1"/>
  <c r="U387" i="1"/>
  <c r="V387" i="1" s="1"/>
  <c r="J387" i="1"/>
  <c r="U386" i="1"/>
  <c r="V386" i="1" s="1"/>
  <c r="J386" i="1"/>
  <c r="U385" i="1"/>
  <c r="V385" i="1" s="1"/>
  <c r="J385" i="1"/>
  <c r="U384" i="1"/>
  <c r="V384" i="1" s="1"/>
  <c r="J384" i="1"/>
  <c r="V383" i="1"/>
  <c r="U383" i="1"/>
  <c r="J383" i="1"/>
  <c r="V382" i="1"/>
  <c r="U382" i="1"/>
  <c r="J382" i="1"/>
  <c r="V381" i="1"/>
  <c r="U381" i="1"/>
  <c r="J381" i="1"/>
  <c r="V380" i="1"/>
  <c r="U380" i="1"/>
  <c r="J380" i="1"/>
  <c r="U379" i="1"/>
  <c r="V379" i="1" s="1"/>
  <c r="J379" i="1"/>
  <c r="U378" i="1"/>
  <c r="V378" i="1" s="1"/>
  <c r="J378" i="1"/>
  <c r="U377" i="1"/>
  <c r="V377" i="1" s="1"/>
  <c r="J377" i="1"/>
  <c r="V376" i="1"/>
  <c r="U376" i="1"/>
  <c r="J376" i="1"/>
  <c r="U375" i="1"/>
  <c r="V375" i="1" s="1"/>
  <c r="J375" i="1"/>
  <c r="V374" i="1"/>
  <c r="U374" i="1"/>
  <c r="J374" i="1"/>
  <c r="V373" i="1"/>
  <c r="U373" i="1"/>
  <c r="J373" i="1"/>
  <c r="V372" i="1"/>
  <c r="U372" i="1"/>
  <c r="J372" i="1"/>
  <c r="U371" i="1"/>
  <c r="V371" i="1" s="1"/>
  <c r="J371" i="1"/>
  <c r="U370" i="1"/>
  <c r="V370" i="1" s="1"/>
  <c r="J370" i="1"/>
  <c r="U369" i="1"/>
  <c r="V369" i="1" s="1"/>
  <c r="J369" i="1"/>
  <c r="V368" i="1"/>
  <c r="U368" i="1"/>
  <c r="J368" i="1"/>
  <c r="V367" i="1"/>
  <c r="U367" i="1"/>
  <c r="J367" i="1"/>
  <c r="V366" i="1"/>
  <c r="U366" i="1"/>
  <c r="J366" i="1"/>
  <c r="V365" i="1"/>
  <c r="U365" i="1"/>
  <c r="J365" i="1"/>
  <c r="V364" i="1"/>
  <c r="U364" i="1"/>
  <c r="J364" i="1"/>
  <c r="U363" i="1"/>
  <c r="V363" i="1" s="1"/>
  <c r="J363" i="1"/>
  <c r="U362" i="1"/>
  <c r="V362" i="1" s="1"/>
  <c r="J362" i="1"/>
  <c r="U361" i="1"/>
  <c r="V361" i="1" s="1"/>
  <c r="J361" i="1"/>
  <c r="U360" i="1"/>
  <c r="V360" i="1" s="1"/>
  <c r="J360" i="1"/>
  <c r="V359" i="1"/>
  <c r="U359" i="1"/>
  <c r="J359" i="1"/>
  <c r="V358" i="1"/>
  <c r="U358" i="1"/>
  <c r="J358" i="1"/>
  <c r="V357" i="1"/>
  <c r="U357" i="1"/>
  <c r="J357" i="1"/>
  <c r="V356" i="1"/>
  <c r="U356" i="1"/>
  <c r="J356" i="1"/>
  <c r="U355" i="1"/>
  <c r="V355" i="1" s="1"/>
  <c r="J355" i="1"/>
  <c r="U354" i="1"/>
  <c r="V354" i="1" s="1"/>
  <c r="J354" i="1"/>
  <c r="U353" i="1"/>
  <c r="V353" i="1" s="1"/>
  <c r="J353" i="1"/>
  <c r="U352" i="1"/>
  <c r="V352" i="1" s="1"/>
  <c r="J352" i="1"/>
  <c r="U351" i="1"/>
  <c r="V351" i="1" s="1"/>
  <c r="J351" i="1"/>
  <c r="V350" i="1"/>
  <c r="U350" i="1"/>
  <c r="J350" i="1"/>
  <c r="V349" i="1"/>
  <c r="U349" i="1"/>
  <c r="J349" i="1"/>
  <c r="V348" i="1"/>
  <c r="U348" i="1"/>
  <c r="J348" i="1"/>
  <c r="U347" i="1"/>
  <c r="V347" i="1" s="1"/>
  <c r="J347" i="1"/>
  <c r="U346" i="1"/>
  <c r="V346" i="1" s="1"/>
  <c r="J346" i="1"/>
  <c r="U345" i="1"/>
  <c r="V345" i="1" s="1"/>
  <c r="J345" i="1"/>
  <c r="U344" i="1"/>
  <c r="V344" i="1" s="1"/>
  <c r="J344" i="1"/>
  <c r="U343" i="1"/>
  <c r="V343" i="1" s="1"/>
  <c r="J343" i="1"/>
  <c r="V342" i="1"/>
  <c r="U342" i="1"/>
  <c r="J342" i="1"/>
  <c r="V341" i="1"/>
  <c r="U341" i="1"/>
  <c r="J341" i="1"/>
  <c r="V340" i="1"/>
  <c r="U340" i="1"/>
  <c r="J340" i="1"/>
  <c r="U339" i="1"/>
  <c r="V339" i="1" s="1"/>
  <c r="J339" i="1"/>
  <c r="U338" i="1"/>
  <c r="V338" i="1" s="1"/>
  <c r="J338" i="1"/>
  <c r="U337" i="1"/>
  <c r="V337" i="1" s="1"/>
  <c r="J337" i="1"/>
  <c r="U336" i="1"/>
  <c r="V336" i="1" s="1"/>
  <c r="J336" i="1"/>
  <c r="U335" i="1"/>
  <c r="V335" i="1" s="1"/>
  <c r="J335" i="1"/>
  <c r="V334" i="1"/>
  <c r="U334" i="1"/>
  <c r="J334" i="1"/>
  <c r="V333" i="1"/>
  <c r="U333" i="1"/>
  <c r="J333" i="1"/>
  <c r="V332" i="1"/>
  <c r="U332" i="1"/>
  <c r="J332" i="1"/>
  <c r="U331" i="1"/>
  <c r="V331" i="1" s="1"/>
  <c r="J331" i="1"/>
  <c r="U330" i="1"/>
  <c r="V330" i="1" s="1"/>
  <c r="J330" i="1"/>
  <c r="U329" i="1"/>
  <c r="V329" i="1" s="1"/>
  <c r="J329" i="1"/>
  <c r="U328" i="1"/>
  <c r="V328" i="1" s="1"/>
  <c r="J328" i="1"/>
  <c r="U327" i="1"/>
  <c r="V327" i="1" s="1"/>
  <c r="J327" i="1"/>
  <c r="V326" i="1"/>
  <c r="U326" i="1"/>
  <c r="H326" i="1"/>
  <c r="J326" i="1" s="1"/>
  <c r="U325" i="1"/>
  <c r="V325" i="1" s="1"/>
  <c r="J325" i="1"/>
  <c r="U324" i="1"/>
  <c r="V324" i="1" s="1"/>
  <c r="J324" i="1"/>
  <c r="V323" i="1"/>
  <c r="U323" i="1"/>
  <c r="J323" i="1"/>
  <c r="U322" i="1"/>
  <c r="V322" i="1" s="1"/>
  <c r="J322" i="1"/>
  <c r="V321" i="1"/>
  <c r="U321" i="1"/>
  <c r="J321" i="1"/>
  <c r="U320" i="1"/>
  <c r="V320" i="1" s="1"/>
  <c r="J320" i="1"/>
  <c r="V319" i="1"/>
  <c r="U319" i="1"/>
  <c r="J319" i="1"/>
  <c r="U318" i="1"/>
  <c r="V318" i="1" s="1"/>
  <c r="J318" i="1"/>
  <c r="U317" i="1"/>
  <c r="V317" i="1" s="1"/>
  <c r="J317" i="1"/>
  <c r="U316" i="1"/>
  <c r="V316" i="1" s="1"/>
  <c r="J316" i="1"/>
  <c r="U315" i="1"/>
  <c r="V315" i="1" s="1"/>
  <c r="J315" i="1"/>
  <c r="U314" i="1"/>
  <c r="V314" i="1" s="1"/>
  <c r="J314" i="1"/>
  <c r="V313" i="1"/>
  <c r="U313" i="1"/>
  <c r="J313" i="1"/>
  <c r="V312" i="1"/>
  <c r="U312" i="1"/>
  <c r="J312" i="1"/>
  <c r="V311" i="1"/>
  <c r="U311" i="1"/>
  <c r="J311" i="1"/>
  <c r="U310" i="1"/>
  <c r="V310" i="1" s="1"/>
  <c r="J310" i="1"/>
  <c r="V309" i="1"/>
  <c r="U309" i="1"/>
  <c r="J309" i="1"/>
  <c r="U308" i="1"/>
  <c r="V308" i="1" s="1"/>
  <c r="J308" i="1"/>
  <c r="U307" i="1"/>
  <c r="V307" i="1" s="1"/>
  <c r="J307" i="1"/>
  <c r="V306" i="1"/>
  <c r="U306" i="1"/>
  <c r="J306" i="1"/>
  <c r="V305" i="1"/>
  <c r="U305" i="1"/>
  <c r="J305" i="1"/>
  <c r="U304" i="1"/>
  <c r="V304" i="1" s="1"/>
  <c r="J304" i="1"/>
  <c r="V303" i="1"/>
  <c r="U303" i="1"/>
  <c r="J303" i="1"/>
  <c r="U302" i="1"/>
  <c r="V302" i="1" s="1"/>
  <c r="J302" i="1"/>
  <c r="U301" i="1"/>
  <c r="V301" i="1" s="1"/>
  <c r="J301" i="1"/>
  <c r="H301" i="1"/>
  <c r="V300" i="1"/>
  <c r="U300" i="1"/>
  <c r="H300" i="1"/>
  <c r="J300" i="1" s="1"/>
  <c r="U299" i="1"/>
  <c r="V299" i="1" s="1"/>
  <c r="J299" i="1"/>
  <c r="H299" i="1"/>
  <c r="V298" i="1"/>
  <c r="U298" i="1"/>
  <c r="J298" i="1"/>
  <c r="U297" i="1"/>
  <c r="V297" i="1" s="1"/>
  <c r="J297" i="1"/>
  <c r="V296" i="1"/>
  <c r="U296" i="1"/>
  <c r="J296" i="1"/>
  <c r="U295" i="1"/>
  <c r="V295" i="1" s="1"/>
  <c r="J295" i="1"/>
  <c r="U294" i="1"/>
  <c r="V294" i="1" s="1"/>
  <c r="J294" i="1"/>
  <c r="U293" i="1"/>
  <c r="V293" i="1" s="1"/>
  <c r="J293" i="1"/>
  <c r="U292" i="1"/>
  <c r="V292" i="1" s="1"/>
  <c r="J292" i="1"/>
  <c r="U291" i="1"/>
  <c r="V291" i="1" s="1"/>
  <c r="J291" i="1"/>
  <c r="V290" i="1"/>
  <c r="U290" i="1"/>
  <c r="J290" i="1"/>
  <c r="V289" i="1"/>
  <c r="U289" i="1"/>
  <c r="J289" i="1"/>
  <c r="V288" i="1"/>
  <c r="U288" i="1"/>
  <c r="J288" i="1"/>
  <c r="U287" i="1"/>
  <c r="V287" i="1" s="1"/>
  <c r="J287" i="1"/>
  <c r="V286" i="1"/>
  <c r="U286" i="1"/>
  <c r="J286" i="1"/>
  <c r="U285" i="1"/>
  <c r="V285" i="1" s="1"/>
  <c r="J285" i="1"/>
  <c r="V284" i="1"/>
  <c r="U284" i="1"/>
  <c r="J284" i="1"/>
  <c r="V283" i="1"/>
  <c r="U283" i="1"/>
  <c r="H283" i="1"/>
  <c r="J283" i="1" s="1"/>
  <c r="U282" i="1"/>
  <c r="V282" i="1" s="1"/>
  <c r="J282" i="1"/>
  <c r="V281" i="1"/>
  <c r="U281" i="1"/>
  <c r="J281" i="1"/>
  <c r="H281" i="1"/>
  <c r="V280" i="1"/>
  <c r="U280" i="1"/>
  <c r="H280" i="1"/>
  <c r="J280" i="1" s="1"/>
  <c r="V279" i="1"/>
  <c r="U279" i="1"/>
  <c r="J279" i="1"/>
  <c r="H279" i="1"/>
  <c r="V278" i="1"/>
  <c r="U278" i="1"/>
  <c r="J278" i="1"/>
  <c r="U277" i="1"/>
  <c r="V277" i="1" s="1"/>
  <c r="J277" i="1"/>
  <c r="V276" i="1"/>
  <c r="U276" i="1"/>
  <c r="J276" i="1"/>
  <c r="U275" i="1"/>
  <c r="V275" i="1" s="1"/>
  <c r="J275" i="1"/>
  <c r="U274" i="1"/>
  <c r="V274" i="1" s="1"/>
  <c r="J274" i="1"/>
  <c r="U273" i="1"/>
  <c r="V273" i="1" s="1"/>
  <c r="J273" i="1"/>
  <c r="U272" i="1"/>
  <c r="V272" i="1" s="1"/>
  <c r="H272" i="1"/>
  <c r="J272" i="1" s="1"/>
  <c r="V271" i="1"/>
  <c r="U271" i="1"/>
  <c r="J271" i="1"/>
  <c r="H271" i="1"/>
  <c r="U270" i="1"/>
  <c r="V270" i="1" s="1"/>
  <c r="J270" i="1"/>
  <c r="U269" i="1"/>
  <c r="V269" i="1" s="1"/>
  <c r="J269" i="1"/>
  <c r="V268" i="1"/>
  <c r="U268" i="1"/>
  <c r="J268" i="1"/>
  <c r="U267" i="1"/>
  <c r="V267" i="1" s="1"/>
  <c r="J267" i="1"/>
  <c r="V266" i="1"/>
  <c r="U266" i="1"/>
  <c r="J266" i="1"/>
  <c r="U265" i="1"/>
  <c r="V265" i="1" s="1"/>
  <c r="J265" i="1"/>
  <c r="U264" i="1"/>
  <c r="V264" i="1" s="1"/>
  <c r="J264" i="1"/>
  <c r="U263" i="1"/>
  <c r="V263" i="1" s="1"/>
  <c r="J263" i="1"/>
  <c r="U262" i="1"/>
  <c r="V262" i="1" s="1"/>
  <c r="H262" i="1"/>
  <c r="J262" i="1" s="1"/>
  <c r="V261" i="1"/>
  <c r="U261" i="1"/>
  <c r="J261" i="1"/>
  <c r="U260" i="1"/>
  <c r="V260" i="1" s="1"/>
  <c r="J260" i="1"/>
  <c r="V259" i="1"/>
  <c r="U259" i="1"/>
  <c r="J259" i="1"/>
  <c r="U258" i="1"/>
  <c r="V258" i="1" s="1"/>
  <c r="J258" i="1"/>
  <c r="V257" i="1"/>
  <c r="U257" i="1"/>
  <c r="J257" i="1"/>
  <c r="V256" i="1"/>
  <c r="U256" i="1"/>
  <c r="J256" i="1"/>
  <c r="V255" i="1"/>
  <c r="U255" i="1"/>
  <c r="J255" i="1"/>
  <c r="V254" i="1"/>
  <c r="U254" i="1"/>
  <c r="J254" i="1"/>
  <c r="V253" i="1"/>
  <c r="U253" i="1"/>
  <c r="J253" i="1"/>
  <c r="U252" i="1"/>
  <c r="V252" i="1" s="1"/>
  <c r="J252" i="1"/>
  <c r="V251" i="1"/>
  <c r="U251" i="1"/>
  <c r="J251" i="1"/>
  <c r="U250" i="1"/>
  <c r="V250" i="1" s="1"/>
  <c r="J250" i="1"/>
  <c r="V249" i="1"/>
  <c r="U249" i="1"/>
  <c r="J249" i="1"/>
  <c r="V248" i="1"/>
  <c r="U248" i="1"/>
  <c r="J248" i="1"/>
  <c r="V247" i="1"/>
  <c r="U247" i="1"/>
  <c r="J247" i="1"/>
  <c r="U246" i="1"/>
  <c r="V246" i="1" s="1"/>
  <c r="J246" i="1"/>
  <c r="V245" i="1"/>
  <c r="U245" i="1"/>
  <c r="J245" i="1"/>
  <c r="U244" i="1"/>
  <c r="V244" i="1" s="1"/>
  <c r="J244" i="1"/>
  <c r="U243" i="1"/>
  <c r="V243" i="1" s="1"/>
  <c r="J243" i="1"/>
  <c r="U242" i="1"/>
  <c r="V242" i="1" s="1"/>
  <c r="J242" i="1"/>
  <c r="U241" i="1"/>
  <c r="V241" i="1" s="1"/>
  <c r="J241" i="1"/>
  <c r="H241" i="1"/>
  <c r="V240" i="1"/>
  <c r="U240" i="1"/>
  <c r="J240" i="1"/>
  <c r="U239" i="1"/>
  <c r="V239" i="1" s="1"/>
  <c r="J239" i="1"/>
  <c r="U238" i="1"/>
  <c r="V238" i="1" s="1"/>
  <c r="J238" i="1"/>
  <c r="U237" i="1"/>
  <c r="V237" i="1" s="1"/>
  <c r="J237" i="1"/>
  <c r="U236" i="1"/>
  <c r="V236" i="1" s="1"/>
  <c r="J236" i="1"/>
  <c r="U235" i="1"/>
  <c r="V235" i="1" s="1"/>
  <c r="J235" i="1"/>
  <c r="V234" i="1"/>
  <c r="U234" i="1"/>
  <c r="J234" i="1"/>
  <c r="V233" i="1"/>
  <c r="U233" i="1"/>
  <c r="J233" i="1"/>
  <c r="V232" i="1"/>
  <c r="U232" i="1"/>
  <c r="J232" i="1"/>
  <c r="U231" i="1"/>
  <c r="V231" i="1" s="1"/>
  <c r="J231" i="1"/>
  <c r="V230" i="1"/>
  <c r="U230" i="1"/>
  <c r="J230" i="1"/>
  <c r="U229" i="1"/>
  <c r="V229" i="1" s="1"/>
  <c r="J229" i="1"/>
  <c r="V228" i="1"/>
  <c r="U228" i="1"/>
  <c r="J228" i="1"/>
  <c r="V227" i="1"/>
  <c r="U227" i="1"/>
  <c r="J227" i="1"/>
  <c r="V226" i="1"/>
  <c r="U226" i="1"/>
  <c r="J226" i="1"/>
  <c r="V225" i="1"/>
  <c r="U225" i="1"/>
  <c r="J225" i="1"/>
  <c r="V224" i="1"/>
  <c r="U224" i="1"/>
  <c r="J224" i="1"/>
  <c r="U223" i="1"/>
  <c r="V223" i="1" s="1"/>
  <c r="J223" i="1"/>
  <c r="U222" i="1"/>
  <c r="V222" i="1" s="1"/>
  <c r="J222" i="1"/>
  <c r="U221" i="1"/>
  <c r="V221" i="1" s="1"/>
  <c r="J221" i="1"/>
  <c r="U220" i="1"/>
  <c r="V220" i="1" s="1"/>
  <c r="J220" i="1"/>
  <c r="U219" i="1"/>
  <c r="V219" i="1" s="1"/>
  <c r="J219" i="1"/>
  <c r="U218" i="1"/>
  <c r="V218" i="1" s="1"/>
  <c r="J218" i="1"/>
  <c r="V217" i="1"/>
  <c r="U217" i="1"/>
  <c r="J217" i="1"/>
  <c r="V216" i="1"/>
  <c r="U216" i="1"/>
  <c r="J216" i="1"/>
  <c r="V215" i="1"/>
  <c r="U215" i="1"/>
  <c r="J215" i="1"/>
  <c r="V214" i="1"/>
  <c r="U214" i="1"/>
  <c r="J214" i="1"/>
  <c r="U213" i="1"/>
  <c r="V213" i="1" s="1"/>
  <c r="J213" i="1"/>
  <c r="V212" i="1"/>
  <c r="U212" i="1"/>
  <c r="J212" i="1"/>
  <c r="V211" i="1"/>
  <c r="U211" i="1"/>
  <c r="J211" i="1"/>
  <c r="U210" i="1"/>
  <c r="V210" i="1" s="1"/>
  <c r="J210" i="1"/>
  <c r="U209" i="1"/>
  <c r="V209" i="1" s="1"/>
  <c r="J209" i="1"/>
  <c r="U208" i="1"/>
  <c r="V208" i="1" s="1"/>
  <c r="J208" i="1"/>
  <c r="U207" i="1"/>
  <c r="V207" i="1" s="1"/>
  <c r="J207" i="1"/>
  <c r="V206" i="1"/>
  <c r="U206" i="1"/>
  <c r="J206" i="1"/>
  <c r="V205" i="1"/>
  <c r="U205" i="1"/>
  <c r="J205" i="1"/>
  <c r="V204" i="1"/>
  <c r="U204" i="1"/>
  <c r="J204" i="1"/>
  <c r="V203" i="1"/>
  <c r="U203" i="1"/>
  <c r="J203" i="1"/>
  <c r="U202" i="1"/>
  <c r="V202" i="1" s="1"/>
  <c r="J202" i="1"/>
  <c r="U201" i="1"/>
  <c r="V201" i="1" s="1"/>
  <c r="J201" i="1"/>
  <c r="U200" i="1"/>
  <c r="V200" i="1" s="1"/>
  <c r="J200" i="1"/>
  <c r="U199" i="1"/>
  <c r="V199" i="1" s="1"/>
  <c r="J199" i="1"/>
  <c r="V198" i="1"/>
  <c r="U198" i="1"/>
  <c r="J198" i="1"/>
  <c r="V197" i="1"/>
  <c r="U197" i="1"/>
  <c r="J197" i="1"/>
  <c r="V196" i="1"/>
  <c r="U196" i="1"/>
  <c r="J196" i="1"/>
  <c r="V195" i="1"/>
  <c r="U195" i="1"/>
  <c r="J195" i="1"/>
  <c r="U194" i="1"/>
  <c r="V194" i="1" s="1"/>
  <c r="J194" i="1"/>
  <c r="U193" i="1"/>
  <c r="V193" i="1" s="1"/>
  <c r="J193" i="1"/>
  <c r="U192" i="1"/>
  <c r="V192" i="1" s="1"/>
  <c r="J192" i="1"/>
  <c r="U191" i="1"/>
  <c r="V191" i="1" s="1"/>
  <c r="J191" i="1"/>
  <c r="V190" i="1"/>
  <c r="U190" i="1"/>
  <c r="J190" i="1"/>
  <c r="V189" i="1"/>
  <c r="U189" i="1"/>
  <c r="J189" i="1"/>
  <c r="V188" i="1"/>
  <c r="U188" i="1"/>
  <c r="J188" i="1"/>
  <c r="V187" i="1"/>
  <c r="U187" i="1"/>
  <c r="J187" i="1"/>
  <c r="U186" i="1"/>
  <c r="V186" i="1" s="1"/>
  <c r="J186" i="1"/>
  <c r="U185" i="1"/>
  <c r="V185" i="1" s="1"/>
  <c r="J185" i="1"/>
  <c r="U184" i="1"/>
  <c r="V184" i="1" s="1"/>
  <c r="J184" i="1"/>
  <c r="U183" i="1"/>
  <c r="V183" i="1" s="1"/>
  <c r="J183" i="1"/>
  <c r="V182" i="1"/>
  <c r="U182" i="1"/>
  <c r="J182" i="1"/>
  <c r="V181" i="1"/>
  <c r="U181" i="1"/>
  <c r="J181" i="1"/>
  <c r="V180" i="1"/>
  <c r="U180" i="1"/>
  <c r="J180" i="1"/>
  <c r="V179" i="1"/>
  <c r="U179" i="1"/>
  <c r="J179" i="1"/>
  <c r="U178" i="1"/>
  <c r="V178" i="1" s="1"/>
  <c r="J178" i="1"/>
  <c r="U177" i="1"/>
  <c r="V177" i="1" s="1"/>
  <c r="J177" i="1"/>
  <c r="U176" i="1"/>
  <c r="V176" i="1" s="1"/>
  <c r="J176" i="1"/>
  <c r="U175" i="1"/>
  <c r="V175" i="1" s="1"/>
  <c r="J175" i="1"/>
  <c r="V174" i="1"/>
  <c r="U174" i="1"/>
  <c r="J174" i="1"/>
  <c r="V173" i="1"/>
  <c r="U173" i="1"/>
  <c r="J173" i="1"/>
  <c r="V172" i="1"/>
  <c r="U172" i="1"/>
  <c r="J172" i="1"/>
  <c r="H172" i="1"/>
  <c r="U171" i="1"/>
  <c r="V171" i="1" s="1"/>
  <c r="J171" i="1"/>
  <c r="U170" i="1"/>
  <c r="V170" i="1" s="1"/>
  <c r="J170" i="1"/>
  <c r="V169" i="1"/>
  <c r="U169" i="1"/>
  <c r="J169" i="1"/>
  <c r="V168" i="1"/>
  <c r="U168" i="1"/>
  <c r="H168" i="1"/>
  <c r="J168" i="1" s="1"/>
  <c r="M4" i="1" s="1"/>
  <c r="U167" i="1"/>
  <c r="V167" i="1" s="1"/>
  <c r="J167" i="1"/>
  <c r="U166" i="1"/>
  <c r="V166" i="1" s="1"/>
  <c r="J166" i="1"/>
  <c r="U165" i="1"/>
  <c r="V165" i="1" s="1"/>
  <c r="J165" i="1"/>
  <c r="V164" i="1"/>
  <c r="U164" i="1"/>
  <c r="J164" i="1"/>
  <c r="V163" i="1"/>
  <c r="U163" i="1"/>
  <c r="J163" i="1"/>
  <c r="V162" i="1"/>
  <c r="U162" i="1"/>
  <c r="J162" i="1"/>
  <c r="V161" i="1"/>
  <c r="U161" i="1"/>
  <c r="J161" i="1"/>
  <c r="U160" i="1"/>
  <c r="V160" i="1" s="1"/>
  <c r="J160" i="1"/>
  <c r="U159" i="1"/>
  <c r="V159" i="1" s="1"/>
  <c r="J159" i="1"/>
  <c r="U158" i="1"/>
  <c r="V158" i="1" s="1"/>
  <c r="J158" i="1"/>
  <c r="U157" i="1"/>
  <c r="V157" i="1" s="1"/>
  <c r="J157" i="1"/>
  <c r="V156" i="1"/>
  <c r="U156" i="1"/>
  <c r="J156" i="1"/>
  <c r="V155" i="1"/>
  <c r="U155" i="1"/>
  <c r="J155" i="1"/>
  <c r="V154" i="1"/>
  <c r="U154" i="1"/>
  <c r="J154" i="1"/>
  <c r="V153" i="1"/>
  <c r="U153" i="1"/>
  <c r="J153" i="1"/>
  <c r="U152" i="1"/>
  <c r="V152" i="1" s="1"/>
  <c r="J152" i="1"/>
  <c r="U151" i="1"/>
  <c r="V151" i="1" s="1"/>
  <c r="J151" i="1"/>
  <c r="U150" i="1"/>
  <c r="V150" i="1" s="1"/>
  <c r="J150" i="1"/>
  <c r="U149" i="1"/>
  <c r="V149" i="1" s="1"/>
  <c r="J149" i="1"/>
  <c r="V148" i="1"/>
  <c r="U148" i="1"/>
  <c r="J148" i="1"/>
  <c r="V147" i="1"/>
  <c r="U147" i="1"/>
  <c r="J147" i="1"/>
  <c r="V146" i="1"/>
  <c r="U146" i="1"/>
  <c r="J146" i="1"/>
  <c r="V145" i="1"/>
  <c r="U145" i="1"/>
  <c r="J145" i="1"/>
  <c r="U144" i="1"/>
  <c r="V144" i="1" s="1"/>
  <c r="J144" i="1"/>
  <c r="U143" i="1"/>
  <c r="V143" i="1" s="1"/>
  <c r="J143" i="1"/>
  <c r="U142" i="1"/>
  <c r="V142" i="1" s="1"/>
  <c r="J142" i="1"/>
  <c r="U141" i="1"/>
  <c r="V141" i="1" s="1"/>
  <c r="J141" i="1"/>
  <c r="V140" i="1"/>
  <c r="U140" i="1"/>
  <c r="J140" i="1"/>
  <c r="V139" i="1"/>
  <c r="U139" i="1"/>
  <c r="J139" i="1"/>
  <c r="V138" i="1"/>
  <c r="U138" i="1"/>
  <c r="J138" i="1"/>
  <c r="V137" i="1"/>
  <c r="U137" i="1"/>
  <c r="J137" i="1"/>
  <c r="U136" i="1"/>
  <c r="V136" i="1" s="1"/>
  <c r="J136" i="1"/>
  <c r="U135" i="1"/>
  <c r="V135" i="1" s="1"/>
  <c r="J135" i="1"/>
  <c r="U134" i="1"/>
  <c r="V134" i="1" s="1"/>
  <c r="J134" i="1"/>
  <c r="U133" i="1"/>
  <c r="V133" i="1" s="1"/>
  <c r="J133" i="1"/>
  <c r="V132" i="1"/>
  <c r="U132" i="1"/>
  <c r="J132" i="1"/>
  <c r="V131" i="1"/>
  <c r="U131" i="1"/>
  <c r="H131" i="1"/>
  <c r="J131" i="1" s="1"/>
  <c r="U130" i="1"/>
  <c r="V130" i="1" s="1"/>
  <c r="J130" i="1"/>
  <c r="U129" i="1"/>
  <c r="V129" i="1" s="1"/>
  <c r="J129" i="1"/>
  <c r="U128" i="1"/>
  <c r="V128" i="1" s="1"/>
  <c r="J128" i="1"/>
  <c r="V127" i="1"/>
  <c r="U127" i="1"/>
  <c r="J127" i="1"/>
  <c r="V126" i="1"/>
  <c r="U126" i="1"/>
  <c r="J126" i="1"/>
  <c r="V125" i="1"/>
  <c r="U125" i="1"/>
  <c r="J125" i="1"/>
  <c r="V124" i="1"/>
  <c r="U124" i="1"/>
  <c r="J124" i="1"/>
  <c r="U123" i="1"/>
  <c r="V123" i="1" s="1"/>
  <c r="J123" i="1"/>
  <c r="I123" i="1"/>
  <c r="V122" i="1"/>
  <c r="U122" i="1"/>
  <c r="J122" i="1"/>
  <c r="V121" i="1"/>
  <c r="U121" i="1"/>
  <c r="J121" i="1"/>
  <c r="V120" i="1"/>
  <c r="U120" i="1"/>
  <c r="J120" i="1"/>
  <c r="V119" i="1"/>
  <c r="U119" i="1"/>
  <c r="J119" i="1"/>
  <c r="U118" i="1"/>
  <c r="V118" i="1" s="1"/>
  <c r="J118" i="1"/>
  <c r="U117" i="1"/>
  <c r="V117" i="1" s="1"/>
  <c r="J117" i="1"/>
  <c r="U116" i="1"/>
  <c r="V116" i="1" s="1"/>
  <c r="J116" i="1"/>
  <c r="U115" i="1"/>
  <c r="V115" i="1" s="1"/>
  <c r="J115" i="1"/>
  <c r="V114" i="1"/>
  <c r="U114" i="1"/>
  <c r="J114" i="1"/>
  <c r="V113" i="1"/>
  <c r="U113" i="1"/>
  <c r="J113" i="1"/>
  <c r="V112" i="1"/>
  <c r="U112" i="1"/>
  <c r="J112" i="1"/>
  <c r="V111" i="1"/>
  <c r="U111" i="1"/>
  <c r="J111" i="1"/>
  <c r="U110" i="1"/>
  <c r="V110" i="1" s="1"/>
  <c r="J110" i="1"/>
  <c r="U109" i="1"/>
  <c r="V109" i="1" s="1"/>
  <c r="J109" i="1"/>
  <c r="U108" i="1"/>
  <c r="V108" i="1" s="1"/>
  <c r="J108" i="1"/>
  <c r="U107" i="1"/>
  <c r="V107" i="1" s="1"/>
  <c r="J107" i="1"/>
  <c r="V106" i="1"/>
  <c r="U106" i="1"/>
  <c r="J106" i="1"/>
  <c r="V105" i="1"/>
  <c r="U105" i="1"/>
  <c r="H105" i="1"/>
  <c r="J105" i="1" s="1"/>
  <c r="U104" i="1"/>
  <c r="V104" i="1" s="1"/>
  <c r="J104" i="1"/>
  <c r="U103" i="1"/>
  <c r="V103" i="1" s="1"/>
  <c r="J103" i="1"/>
  <c r="U102" i="1"/>
  <c r="V102" i="1" s="1"/>
  <c r="J102" i="1"/>
  <c r="V101" i="1"/>
  <c r="U101" i="1"/>
  <c r="J101" i="1"/>
  <c r="V100" i="1"/>
  <c r="U100" i="1"/>
  <c r="J100" i="1"/>
  <c r="V99" i="1"/>
  <c r="U99" i="1"/>
  <c r="J99" i="1"/>
  <c r="V98" i="1"/>
  <c r="U98" i="1"/>
  <c r="J98" i="1"/>
  <c r="U97" i="1"/>
  <c r="V97" i="1" s="1"/>
  <c r="J97" i="1"/>
  <c r="U96" i="1"/>
  <c r="V96" i="1" s="1"/>
  <c r="J96" i="1"/>
  <c r="U95" i="1"/>
  <c r="V95" i="1" s="1"/>
  <c r="J95" i="1"/>
  <c r="U94" i="1"/>
  <c r="V94" i="1" s="1"/>
  <c r="J94" i="1"/>
  <c r="V93" i="1"/>
  <c r="U93" i="1"/>
  <c r="I93" i="1"/>
  <c r="J93" i="1" s="1"/>
  <c r="U92" i="1"/>
  <c r="V92" i="1" s="1"/>
  <c r="J92" i="1"/>
  <c r="U91" i="1"/>
  <c r="V91" i="1" s="1"/>
  <c r="J91" i="1"/>
  <c r="U90" i="1"/>
  <c r="V90" i="1" s="1"/>
  <c r="J90" i="1"/>
  <c r="U89" i="1"/>
  <c r="V89" i="1" s="1"/>
  <c r="J89" i="1"/>
  <c r="V88" i="1"/>
  <c r="U88" i="1"/>
  <c r="J88" i="1"/>
  <c r="V87" i="1"/>
  <c r="U87" i="1"/>
  <c r="J87" i="1"/>
  <c r="V86" i="1"/>
  <c r="U86" i="1"/>
  <c r="J86" i="1"/>
  <c r="V85" i="1"/>
  <c r="U85" i="1"/>
  <c r="J85" i="1"/>
  <c r="U84" i="1"/>
  <c r="V84" i="1" s="1"/>
  <c r="J84" i="1"/>
  <c r="U83" i="1"/>
  <c r="V83" i="1" s="1"/>
  <c r="J83" i="1"/>
  <c r="U82" i="1"/>
  <c r="V82" i="1" s="1"/>
  <c r="J82" i="1"/>
  <c r="U81" i="1"/>
  <c r="V81" i="1" s="1"/>
  <c r="J81" i="1"/>
  <c r="V80" i="1"/>
  <c r="U80" i="1"/>
  <c r="J80" i="1"/>
  <c r="V79" i="1"/>
  <c r="U79" i="1"/>
  <c r="J79" i="1"/>
  <c r="V78" i="1"/>
  <c r="U78" i="1"/>
  <c r="J78" i="1"/>
  <c r="V77" i="1"/>
  <c r="U77" i="1"/>
  <c r="J77" i="1"/>
  <c r="U76" i="1"/>
  <c r="V76" i="1" s="1"/>
  <c r="J76" i="1"/>
  <c r="U75" i="1"/>
  <c r="V75" i="1" s="1"/>
  <c r="J75" i="1"/>
  <c r="U74" i="1"/>
  <c r="V74" i="1" s="1"/>
  <c r="J74" i="1"/>
  <c r="U73" i="1"/>
  <c r="V73" i="1" s="1"/>
  <c r="J73" i="1"/>
  <c r="V72" i="1"/>
  <c r="U72" i="1"/>
  <c r="J72" i="1"/>
  <c r="V71" i="1"/>
  <c r="U71" i="1"/>
  <c r="J71" i="1"/>
  <c r="V70" i="1"/>
  <c r="U70" i="1"/>
  <c r="J70" i="1"/>
  <c r="V69" i="1"/>
  <c r="U69" i="1"/>
  <c r="J69" i="1"/>
  <c r="U68" i="1"/>
  <c r="V68" i="1" s="1"/>
  <c r="J68" i="1"/>
  <c r="U67" i="1"/>
  <c r="V67" i="1" s="1"/>
  <c r="J67" i="1"/>
  <c r="U66" i="1"/>
  <c r="V66" i="1" s="1"/>
  <c r="J66" i="1"/>
  <c r="U65" i="1"/>
  <c r="V65" i="1" s="1"/>
  <c r="J65" i="1"/>
  <c r="V64" i="1"/>
  <c r="U64" i="1"/>
  <c r="J64" i="1"/>
  <c r="V63" i="1"/>
  <c r="U63" i="1"/>
  <c r="J63" i="1"/>
  <c r="V62" i="1"/>
  <c r="U62" i="1"/>
  <c r="J62" i="1"/>
  <c r="V61" i="1"/>
  <c r="U61" i="1"/>
  <c r="J61" i="1"/>
  <c r="U60" i="1"/>
  <c r="V60" i="1" s="1"/>
  <c r="J60" i="1"/>
  <c r="U59" i="1"/>
  <c r="V59" i="1" s="1"/>
  <c r="J59" i="1"/>
  <c r="U58" i="1"/>
  <c r="V58" i="1" s="1"/>
  <c r="J58" i="1"/>
  <c r="U57" i="1"/>
  <c r="V57" i="1" s="1"/>
  <c r="J57" i="1"/>
  <c r="V56" i="1"/>
  <c r="U56" i="1"/>
  <c r="I56" i="1"/>
  <c r="J56" i="1" s="1"/>
  <c r="U55" i="1"/>
  <c r="V55" i="1" s="1"/>
  <c r="J55" i="1"/>
  <c r="U54" i="1"/>
  <c r="V54" i="1" s="1"/>
  <c r="J54" i="1"/>
  <c r="I54" i="1"/>
  <c r="V53" i="1"/>
  <c r="U53" i="1"/>
  <c r="J53" i="1"/>
  <c r="U52" i="1"/>
  <c r="V52" i="1" s="1"/>
  <c r="J52" i="1"/>
  <c r="V51" i="1"/>
  <c r="U51" i="1"/>
  <c r="J51" i="1"/>
  <c r="U50" i="1"/>
  <c r="V50" i="1" s="1"/>
  <c r="J50" i="1"/>
  <c r="U49" i="1"/>
  <c r="V49" i="1" s="1"/>
  <c r="J49" i="1"/>
  <c r="U48" i="1"/>
  <c r="V48" i="1" s="1"/>
  <c r="J48" i="1"/>
  <c r="U47" i="1"/>
  <c r="V47" i="1" s="1"/>
  <c r="J47" i="1"/>
  <c r="V46" i="1"/>
  <c r="U46" i="1"/>
  <c r="J46" i="1"/>
  <c r="V45" i="1"/>
  <c r="U45" i="1"/>
  <c r="J45" i="1"/>
  <c r="U44" i="1"/>
  <c r="V44" i="1" s="1"/>
  <c r="J44" i="1"/>
  <c r="V43" i="1"/>
  <c r="U43" i="1"/>
  <c r="J43" i="1"/>
  <c r="U42" i="1"/>
  <c r="V42" i="1" s="1"/>
  <c r="J42" i="1"/>
  <c r="U41" i="1"/>
  <c r="V41" i="1" s="1"/>
  <c r="J41" i="1"/>
  <c r="U40" i="1"/>
  <c r="V40" i="1" s="1"/>
  <c r="J40" i="1"/>
  <c r="U39" i="1"/>
  <c r="V39" i="1" s="1"/>
  <c r="J39" i="1"/>
  <c r="V38" i="1"/>
  <c r="U38" i="1"/>
  <c r="J38" i="1"/>
  <c r="V37" i="1"/>
  <c r="U37" i="1"/>
  <c r="J37" i="1"/>
  <c r="U36" i="1"/>
  <c r="V36" i="1" s="1"/>
  <c r="J36" i="1"/>
  <c r="V35" i="1"/>
  <c r="U35" i="1"/>
  <c r="J35" i="1"/>
  <c r="U34" i="1"/>
  <c r="V34" i="1" s="1"/>
  <c r="J34" i="1"/>
  <c r="U33" i="1"/>
  <c r="V33" i="1" s="1"/>
  <c r="J33" i="1"/>
  <c r="U32" i="1"/>
  <c r="V32" i="1" s="1"/>
  <c r="J32" i="1"/>
  <c r="U31" i="1"/>
  <c r="V31" i="1" s="1"/>
  <c r="I31" i="1"/>
  <c r="H31" i="1"/>
  <c r="J31" i="1" s="1"/>
  <c r="U30" i="1"/>
  <c r="V30" i="1" s="1"/>
  <c r="J30" i="1"/>
  <c r="U29" i="1"/>
  <c r="V29" i="1" s="1"/>
  <c r="J29" i="1"/>
  <c r="V28" i="1"/>
  <c r="U28" i="1"/>
  <c r="J28" i="1"/>
  <c r="V27" i="1"/>
  <c r="U27" i="1"/>
  <c r="J27" i="1"/>
  <c r="U26" i="1"/>
  <c r="V26" i="1" s="1"/>
  <c r="J26" i="1"/>
  <c r="V25" i="1"/>
  <c r="U25" i="1"/>
  <c r="J25" i="1"/>
  <c r="U24" i="1"/>
  <c r="V24" i="1" s="1"/>
  <c r="J24" i="1"/>
  <c r="U23" i="1"/>
  <c r="V23" i="1" s="1"/>
  <c r="J23" i="1"/>
  <c r="U22" i="1"/>
  <c r="V22" i="1" s="1"/>
  <c r="J22" i="1"/>
  <c r="U21" i="1"/>
  <c r="V21" i="1" s="1"/>
  <c r="J21" i="1"/>
  <c r="V20" i="1"/>
  <c r="U20" i="1"/>
  <c r="J20" i="1"/>
  <c r="V19" i="1"/>
  <c r="U19" i="1"/>
  <c r="J19" i="1"/>
  <c r="U18" i="1"/>
  <c r="V18" i="1" s="1"/>
  <c r="J18" i="1"/>
  <c r="V17" i="1"/>
  <c r="U17" i="1"/>
  <c r="J17" i="1"/>
  <c r="U16" i="1"/>
  <c r="V16" i="1" s="1"/>
  <c r="J16" i="1"/>
  <c r="U15" i="1"/>
  <c r="V15" i="1" s="1"/>
  <c r="J15" i="1"/>
  <c r="U14" i="1"/>
  <c r="V14" i="1" s="1"/>
  <c r="J14" i="1"/>
  <c r="U13" i="1"/>
  <c r="V13" i="1" s="1"/>
  <c r="J13" i="1"/>
  <c r="V12" i="1"/>
  <c r="U12" i="1"/>
  <c r="J12" i="1"/>
  <c r="V11" i="1"/>
  <c r="U11" i="1"/>
  <c r="J11" i="1"/>
  <c r="U10" i="1"/>
  <c r="V10" i="1" s="1"/>
  <c r="J10" i="1"/>
  <c r="V9" i="1"/>
  <c r="U9" i="1"/>
  <c r="J9" i="1"/>
  <c r="T7" i="1"/>
  <c r="N6" i="1"/>
  <c r="M3" i="1"/>
  <c r="M5" i="1" l="1"/>
  <c r="J6" i="1"/>
  <c r="M2" i="1"/>
  <c r="J544" i="1"/>
  <c r="J567" i="1"/>
  <c r="M6" i="1" l="1"/>
</calcChain>
</file>

<file path=xl/sharedStrings.xml><?xml version="1.0" encoding="utf-8"?>
<sst xmlns="http://schemas.openxmlformats.org/spreadsheetml/2006/main" count="5170" uniqueCount="859">
  <si>
    <t>Prev Bal</t>
  </si>
  <si>
    <t>Transfers</t>
  </si>
  <si>
    <t>Utility</t>
  </si>
  <si>
    <t>Tax Rate</t>
  </si>
  <si>
    <t>Labor</t>
  </si>
  <si>
    <t>2/1/2021: 2 notes.  
1) Part of what Ian does is to supervise and manage what happens on the site, note he signed to receive the deliveries and verify the excavator hours.
2) He said it is now law to have toilet facilities on job sites.  Ironically I heard the related ad over the weekend saying when you are renovating or  constructing by law you must provide those facilities.</t>
  </si>
  <si>
    <t>Materials</t>
  </si>
  <si>
    <t>BDS</t>
  </si>
  <si>
    <t>Funds Balance</t>
  </si>
  <si>
    <t>Date</t>
  </si>
  <si>
    <t>Description</t>
  </si>
  <si>
    <t>Stage</t>
  </si>
  <si>
    <t>LC-Stage</t>
  </si>
  <si>
    <t>Supplier</t>
  </si>
  <si>
    <t>Estimate</t>
  </si>
  <si>
    <t>QTY</t>
  </si>
  <si>
    <t>Supplies Cost</t>
  </si>
  <si>
    <t>Tax/Fees</t>
  </si>
  <si>
    <t>Cost</t>
  </si>
  <si>
    <t>Invoiced Amt</t>
  </si>
  <si>
    <t>Posted</t>
  </si>
  <si>
    <t>L/M</t>
  </si>
  <si>
    <t>Supervisor</t>
  </si>
  <si>
    <t>Invoice #</t>
  </si>
  <si>
    <t>Delivery Type</t>
  </si>
  <si>
    <t>Book #</t>
  </si>
  <si>
    <t>Notes</t>
  </si>
  <si>
    <t>Type Description</t>
  </si>
  <si>
    <t>Type</t>
  </si>
  <si>
    <t>TypDesc</t>
  </si>
  <si>
    <t>  -   Make Copies of Plans</t>
  </si>
  <si>
    <t>AA1</t>
  </si>
  <si>
    <t>Adrian Knight</t>
  </si>
  <si>
    <t>Yes</t>
  </si>
  <si>
    <t>L</t>
  </si>
  <si>
    <t>Construction Drawings Design</t>
  </si>
  <si>
    <t>-   Structural Arrangement Drawings</t>
  </si>
  <si>
    <t>5a. Ground Floor redesign</t>
  </si>
  <si>
    <t>Quantity Suveyor Report</t>
  </si>
  <si>
    <t>Ron Layne</t>
  </si>
  <si>
    <t>Quantity Surveyor’s Report</t>
  </si>
  <si>
    <t>Construction Drawings (Final)</t>
  </si>
  <si>
    <t xml:space="preserve">Stage 1 &amp; 2 Final </t>
  </si>
  <si>
    <t>-   Secure Town &amp; Country Planning Approval</t>
  </si>
  <si>
    <t>Temporary water connection Fee</t>
  </si>
  <si>
    <t>EH0</t>
  </si>
  <si>
    <t>BWA</t>
  </si>
  <si>
    <t>M</t>
  </si>
  <si>
    <t>Greg</t>
  </si>
  <si>
    <t>SR In Store</t>
  </si>
  <si>
    <t>Plumbing</t>
  </si>
  <si>
    <t>Spent $85.49 yesterday on 2 pieces of 2×4 wood for the temp electricity supply and a can of marking paint</t>
  </si>
  <si>
    <t>Dianne</t>
  </si>
  <si>
    <t>Electrical Work</t>
  </si>
  <si>
    <t>Surveyor's Land Mark Fee</t>
  </si>
  <si>
    <t>Michael Hutchinson</t>
  </si>
  <si>
    <t>Site/Earthworks</t>
  </si>
  <si>
    <t>Carters 2 Earth Rods, 3 Lugs</t>
  </si>
  <si>
    <t>Brydens- Receipt book</t>
  </si>
  <si>
    <t>Brydens</t>
  </si>
  <si>
    <t>Administrative</t>
  </si>
  <si>
    <t>Full set of plans at A1 size</t>
  </si>
  <si>
    <t>Make Copies of Plans</t>
  </si>
  <si>
    <t>Clear Lot</t>
  </si>
  <si>
    <t>Shawn Grandison</t>
  </si>
  <si>
    <t>Marlon</t>
  </si>
  <si>
    <t>Electrical Supplies (Bok &amp; equiptment)</t>
  </si>
  <si>
    <t>Ian Wiltshire</t>
  </si>
  <si>
    <t>Dig hole thru rock  for Electrical Pole (Anderson Fields)</t>
  </si>
  <si>
    <t>Modern Builders (Marlon)</t>
  </si>
  <si>
    <t xml:space="preserve">Misc Supplies </t>
  </si>
  <si>
    <t>Carter &amp; Company</t>
  </si>
  <si>
    <t>8-00007138</t>
  </si>
  <si>
    <t>Delivery</t>
  </si>
  <si>
    <t>Pick up</t>
  </si>
  <si>
    <t>Container ordered from Glassesco (First 3 Months)</t>
  </si>
  <si>
    <t>Glassesco</t>
  </si>
  <si>
    <t>U</t>
  </si>
  <si>
    <t>For Delivery today or tomorrow.</t>
  </si>
  <si>
    <t>SubFloor Plant</t>
  </si>
  <si>
    <t>BRC Steelworks purchase PO # 65123</t>
  </si>
  <si>
    <t>SL1</t>
  </si>
  <si>
    <t>BRC West Indies</t>
  </si>
  <si>
    <t>Steelwork</t>
  </si>
  <si>
    <t>For Delivery today or Friday.</t>
  </si>
  <si>
    <t>SteelWork</t>
  </si>
  <si>
    <t>3 Drums for Water (Beverage Express)</t>
  </si>
  <si>
    <t>Set out pins of the house foundations and the spot levels (1200 &amp; 375)</t>
  </si>
  <si>
    <t>Zoom Pro Subscription</t>
  </si>
  <si>
    <t>Zoom</t>
  </si>
  <si>
    <t>Converted to BDS</t>
  </si>
  <si>
    <t>Loads of Sand (2 meters)</t>
  </si>
  <si>
    <t>Inv</t>
  </si>
  <si>
    <t>SD020621-21</t>
  </si>
  <si>
    <t>Loads of Stone (2 meters)</t>
  </si>
  <si>
    <t>Excavation 9:30 to 3:30</t>
  </si>
  <si>
    <t xml:space="preserve">Foundation &amp; steel  work </t>
  </si>
  <si>
    <t>Ian has requested  a cheque for $3,000 to cover work activities through to the end of lockdown. (Approved by Greg)</t>
  </si>
  <si>
    <t>Subfloor Slab</t>
  </si>
  <si>
    <t>Excavation Hammer 10:30 to 12:00 Bucket (12:00 to 4:30</t>
  </si>
  <si>
    <t>Excavation 9:00 to 4:30</t>
  </si>
  <si>
    <t>3 bags Arawak Cement 94 lbs</t>
  </si>
  <si>
    <t>Cement</t>
  </si>
  <si>
    <t>Barbados Light &amp; Power - Temp Electricity</t>
  </si>
  <si>
    <t>BL&amp;P</t>
  </si>
  <si>
    <t>Foundation &amp; steel  work 3/1 thru 3/19</t>
  </si>
  <si>
    <t>Advance on wages after covid lockdown</t>
  </si>
  <si>
    <t>3 loads of 8" blocks -</t>
  </si>
  <si>
    <t>Ready Block</t>
  </si>
  <si>
    <t>Subfloor Walls</t>
  </si>
  <si>
    <t xml:space="preserve">Misc  30 sheets, plywood, other wood,  nails, marking paint etc  </t>
  </si>
  <si>
    <t>BASEMENT FORMWORK</t>
  </si>
  <si>
    <t>D'Obrian Home Services(Foundation leveling)</t>
  </si>
  <si>
    <t>David Smith</t>
  </si>
  <si>
    <t>Leveling of footing and squaring of water tank</t>
  </si>
  <si>
    <t>Marl Compactor Rental</t>
  </si>
  <si>
    <t>Williams Equiptment</t>
  </si>
  <si>
    <t>34m of 3750psi concrete at 28 days @ $ 419.81  &amp; pump for footings</t>
  </si>
  <si>
    <t>SL2</t>
  </si>
  <si>
    <t>Ready Mix</t>
  </si>
  <si>
    <t>Concrete</t>
  </si>
  <si>
    <t>Funds Transfervfor Construction</t>
  </si>
  <si>
    <t>Xfer</t>
  </si>
  <si>
    <t>Sievewright Rogers</t>
  </si>
  <si>
    <t>X</t>
  </si>
  <si>
    <t>Deposits</t>
  </si>
  <si>
    <t>Toilet Rental ((Monthly Charge)</t>
  </si>
  <si>
    <t>Infra Rentals</t>
  </si>
  <si>
    <t>28589-1</t>
  </si>
  <si>
    <t>Ground Floor Plant</t>
  </si>
  <si>
    <t>Toilet Rental (initial delivery)</t>
  </si>
  <si>
    <t>Foundation Formwork (60%)</t>
  </si>
  <si>
    <t>FOUNDATION FORMWORK</t>
  </si>
  <si>
    <t>Setup of Electrical Supply</t>
  </si>
  <si>
    <t>Load of 8" blocks</t>
  </si>
  <si>
    <t>1 palette of Cement</t>
  </si>
  <si>
    <t>Footings pesticide treatment</t>
  </si>
  <si>
    <t>Greens's Exterminating &amp; Fencing</t>
  </si>
  <si>
    <t>Concrete Vibrator Rental</t>
  </si>
  <si>
    <t>Tool</t>
  </si>
  <si>
    <t>Foundation &amp; Block work  work 3/19 thru 4/16</t>
  </si>
  <si>
    <t>Ian03192021</t>
  </si>
  <si>
    <t>Water Tank</t>
  </si>
  <si>
    <t>Water Tank Foundation &amp; Block work  work 3/19 thru 4/16</t>
  </si>
  <si>
    <t>SL3</t>
  </si>
  <si>
    <t>Sand, stone &amp; Towdown</t>
  </si>
  <si>
    <t>Plumbing Supplies</t>
  </si>
  <si>
    <t>Electrical Supplies</t>
  </si>
  <si>
    <t>Carpentry Supplies</t>
  </si>
  <si>
    <t>BRC steel products (Casting for Sub Floor)</t>
  </si>
  <si>
    <t>Foundation Formwork (4 no. foundation columns ($375/ each))</t>
  </si>
  <si>
    <t>BWA Payment</t>
  </si>
  <si>
    <t>Sub Floor Marl Infill (Bobcat infill)</t>
  </si>
  <si>
    <t>SG0406Marl</t>
  </si>
  <si>
    <t>Sub Floor Marl Infill</t>
  </si>
  <si>
    <t>1 Palate Cement Cr Crds Mas (in store)</t>
  </si>
  <si>
    <t>3/10/21 Additional 3m of 3750psi concrete at 28 days @ $ 419.81  &amp; pump for footings</t>
  </si>
  <si>
    <t>Other</t>
  </si>
  <si>
    <t>Lower Well digging</t>
  </si>
  <si>
    <t>Anthony Seale</t>
  </si>
  <si>
    <t>Exterior Ground</t>
  </si>
  <si>
    <t>Load of 8" blocks (Cancelled)</t>
  </si>
  <si>
    <t>Termite Treatment 1200 sq ft on 4/8/21</t>
  </si>
  <si>
    <t>Vibrating Compactor with Delivery -  1 day (Wire Xfer)</t>
  </si>
  <si>
    <t>1 load of 8" and 1 Load of 4" blocks</t>
  </si>
  <si>
    <t>Rayside Construction Ltd</t>
  </si>
  <si>
    <t>Sub Floor Concrete Slab estimate</t>
  </si>
  <si>
    <t>Sub Floor Concrete Slab estimate (Placing Concrete)</t>
  </si>
  <si>
    <t>Sub Floor Concrete Slab estimate (Pump Rental)</t>
  </si>
  <si>
    <t>Sub Floor Concrete Slab estimate (15% Discount)</t>
  </si>
  <si>
    <t>Sub Floor Sand</t>
  </si>
  <si>
    <t>Transfer from L98 for subFloor walls</t>
  </si>
  <si>
    <t>Contract Masonary to Sub Floor Slab level</t>
  </si>
  <si>
    <r>
      <t xml:space="preserve">Load of 8" blocks </t>
    </r>
    <r>
      <rPr>
        <b/>
        <sz val="12"/>
        <color rgb="FFFF0000"/>
        <rFont val="Times New Roman"/>
        <family val="1"/>
        <scheme val="minor"/>
      </rPr>
      <t xml:space="preserve"> (Cancelled)</t>
    </r>
  </si>
  <si>
    <t>other</t>
  </si>
  <si>
    <t>Upper Well digging (20 feet)</t>
  </si>
  <si>
    <t>Sent in batch slips from remote transactions.. Matching invoice not located (Receivedin July)</t>
  </si>
  <si>
    <t>FF13</t>
  </si>
  <si>
    <t>Ground Floor Walls</t>
  </si>
  <si>
    <t>Basement Slab Formwork</t>
  </si>
  <si>
    <t>First Electrical Installation (Basement)</t>
  </si>
  <si>
    <t>Electrical Work (First Fix installation at all levels)</t>
  </si>
  <si>
    <t>First Plumbing Installation (Hot, Cold water &amp; Waste</t>
  </si>
  <si>
    <t>1 Load of Cement</t>
  </si>
  <si>
    <t>Sub Floor Concrete Slab estimate (refund) -52.23</t>
  </si>
  <si>
    <t>Container ordered from Glassesco (Second 3 Months)</t>
  </si>
  <si>
    <t>Renewal</t>
  </si>
  <si>
    <t>3 Cans of Marking Paint &amp; metal cutting disc</t>
  </si>
  <si>
    <t>Ground Floor Slab</t>
  </si>
  <si>
    <t>Scaffold Rentals for Two weeks</t>
  </si>
  <si>
    <t>Tucker Johnston</t>
  </si>
  <si>
    <t>1 Palate Cement</t>
  </si>
  <si>
    <t>Misc (Steel, Nails, Concrete waterproofer)</t>
  </si>
  <si>
    <t>BRC Steelworks purchase PO # XXXX</t>
  </si>
  <si>
    <t>Misc Masonary for water proofing</t>
  </si>
  <si>
    <t>CTRS0426</t>
  </si>
  <si>
    <t>Props for boxing Ground Floor (50)</t>
  </si>
  <si>
    <t>GROUND FLOOR FORMWORK</t>
  </si>
  <si>
    <t>Misc Plumbing Supplies</t>
  </si>
  <si>
    <t>SL4</t>
  </si>
  <si>
    <t>Misc ElectricalSupplies</t>
  </si>
  <si>
    <t>Misc Carpentry Supplies</t>
  </si>
  <si>
    <t>Barbados Light &amp; Power</t>
  </si>
  <si>
    <t>30 Exterior Plywood sheets</t>
  </si>
  <si>
    <t>Barbados Lumber Company -Delivery</t>
  </si>
  <si>
    <t>BRC 5 sq stirrups</t>
  </si>
  <si>
    <t>Misc Masonary (Ian receipts )</t>
  </si>
  <si>
    <t>Charles Rowe Bridge Discount Hardware</t>
  </si>
  <si>
    <t>Pickup</t>
  </si>
  <si>
    <t>8 bags of Cement  (Charles Rowe Bridge Hardware)</t>
  </si>
  <si>
    <t>Building Start Certificate</t>
  </si>
  <si>
    <t>Town &amp; Country Planning</t>
  </si>
  <si>
    <t>Bond beam formwork (alternative solution for 12" foundation walls</t>
  </si>
  <si>
    <t>GL6</t>
  </si>
  <si>
    <t>steel/BRC mesh, metal cutting Discs</t>
  </si>
  <si>
    <t>Previous payment received for Basement slab formwork</t>
  </si>
  <si>
    <t>Formwork for Basement level Formwork (45 % complete)</t>
  </si>
  <si>
    <t>Sub FLOOR FORMWORK</t>
  </si>
  <si>
    <t>60 Exterior Plywood sheets</t>
  </si>
  <si>
    <t>Marshall's Trading</t>
  </si>
  <si>
    <t>Sand and Stone</t>
  </si>
  <si>
    <t>Bob Cat Work for ground floor foundation /Slab</t>
  </si>
  <si>
    <t>Marl Fill</t>
  </si>
  <si>
    <t>Earthworks ( Excavatio)</t>
  </si>
  <si>
    <t>05182021-80</t>
  </si>
  <si>
    <t>Earthworks (Bobca)</t>
  </si>
  <si>
    <t>Props for boxing Ground Floor (102)</t>
  </si>
  <si>
    <t>Cast Iron cover for water tank</t>
  </si>
  <si>
    <t>Reordered Pine, Ad Mix &amp; Mortar Bond</t>
  </si>
  <si>
    <t>Earthworks Load of Sand</t>
  </si>
  <si>
    <t>Earthworks Load of stonel)</t>
  </si>
  <si>
    <t>Termite Treatment</t>
  </si>
  <si>
    <t>Masonary Services</t>
  </si>
  <si>
    <t>GL8</t>
  </si>
  <si>
    <t>Ian05122021</t>
  </si>
  <si>
    <t>Foundation Extras Work</t>
  </si>
  <si>
    <t>Plaster</t>
  </si>
  <si>
    <t>Formwork for Basement level (70 % complete)</t>
  </si>
  <si>
    <t>Cement Mixer Rental</t>
  </si>
  <si>
    <t>Brian Hinds</t>
  </si>
  <si>
    <t>Vibrating Compactor with Delivery -  2 days(Wire Xfer)</t>
  </si>
  <si>
    <t>Scaffold Rentals for one extra week</t>
  </si>
  <si>
    <t>Vibrating Compactor Delivery -(Transportation)</t>
  </si>
  <si>
    <t>Ian-Scaffold Refund</t>
  </si>
  <si>
    <t>Roof Plant</t>
  </si>
  <si>
    <t>Load of 4" blocks</t>
  </si>
  <si>
    <t>Cement &amp; Steel</t>
  </si>
  <si>
    <t>Earthworks (Marlfill)</t>
  </si>
  <si>
    <t>Partial Formwork for Basement level (90 % complete)</t>
  </si>
  <si>
    <t>Reimbursment to Electrician for Purchase of parts</t>
  </si>
  <si>
    <t>First fix plumbing installation (Hot, cold water &amp; waste) -Ground Floor</t>
  </si>
  <si>
    <t>Installation of rain water pipework (30% complete)</t>
  </si>
  <si>
    <t>Reimbursment to Electrician for Purchase of parts (10% discount)</t>
  </si>
  <si>
    <t>34m of 3750psi concrete at 28 days @ $ 419.81  &amp; pump for Ground Floor</t>
  </si>
  <si>
    <t>Actual Concrete difference (34m of 3750psi concrete at 28 days @ $ 419.81  &amp; pump for Ground Floor)</t>
  </si>
  <si>
    <t>Load of 6" blocks</t>
  </si>
  <si>
    <t>Marking Paint &amp; nails</t>
  </si>
  <si>
    <t>Purchase of Electrical Boxes</t>
  </si>
  <si>
    <t>First fix electrical installation -Ground Floor</t>
  </si>
  <si>
    <t>Formwork for Basement level (90 % complete)</t>
  </si>
  <si>
    <t>Electrical conduit extensions - Basement Level</t>
  </si>
  <si>
    <t>Electrical Work (Conduit extensions)</t>
  </si>
  <si>
    <t>Scaffolding Rentals</t>
  </si>
  <si>
    <t>Transportation</t>
  </si>
  <si>
    <t>Vat</t>
  </si>
  <si>
    <t>Steel</t>
  </si>
  <si>
    <t>Transfer from L98/(IRRA)</t>
  </si>
  <si>
    <t>Ian</t>
  </si>
  <si>
    <t>Ian06052021</t>
  </si>
  <si>
    <t>First Floor Walls</t>
  </si>
  <si>
    <t>misc Masonary Items</t>
  </si>
  <si>
    <t>Second Container</t>
  </si>
  <si>
    <t>BRC Order Ticket # 511024</t>
  </si>
  <si>
    <t>FF12</t>
  </si>
  <si>
    <t>First Floor Slab</t>
  </si>
  <si>
    <t>Props for boxing Ground Floor (132) thru 6/15</t>
  </si>
  <si>
    <t>Misc plumbing items (piping)</t>
  </si>
  <si>
    <t>Refund (Diesel $50, Therminex $26.65, Conduit, bends..$211.83)</t>
  </si>
  <si>
    <t>Roofing Lumber (pre Ordered)</t>
  </si>
  <si>
    <t>FF14</t>
  </si>
  <si>
    <t>Roof Construction</t>
  </si>
  <si>
    <t>3 loads 8" Blocks ordered.  $2,735.40</t>
  </si>
  <si>
    <t>Bank Transfer - Lumber Pieces not obtained from Carters</t>
  </si>
  <si>
    <t>LG Lumber</t>
  </si>
  <si>
    <t>Difference on exchanged lumber  on 9-Jun transaction plus Waste Pipes, cement, deal board, pine</t>
  </si>
  <si>
    <t>Bank Transfer -   50lb quantities of nails</t>
  </si>
  <si>
    <t>Mixer  Period Between 12-May and 11-Jun. 2 weeks  29-May to 11-Jun</t>
  </si>
  <si>
    <t>1Extra length waste pipe</t>
  </si>
  <si>
    <t>Electricity</t>
  </si>
  <si>
    <t>Yard Broom</t>
  </si>
  <si>
    <t>GL7</t>
  </si>
  <si>
    <t>Scaffold Extension</t>
  </si>
  <si>
    <t>First Floor Plant</t>
  </si>
  <si>
    <t>Formwork for Ground floor level (25 % complete)</t>
  </si>
  <si>
    <t>Rain water pipework (50 % complete)</t>
  </si>
  <si>
    <t xml:space="preserve">Architectual changes inclusive of the town planning revised drawing fee </t>
  </si>
  <si>
    <t>Secure Town &amp; Country Planning Approval</t>
  </si>
  <si>
    <t>Formply for formwork</t>
  </si>
  <si>
    <t>Earthworks (sande, Stone, Bobcat work &amp; Marlfill</t>
  </si>
  <si>
    <t>Formwork for Ground floor level (60 % complete)</t>
  </si>
  <si>
    <t>Plate compactor (1 day)</t>
  </si>
  <si>
    <t>24 plywood sheets</t>
  </si>
  <si>
    <t>FIRST FLOOR FORMWORK</t>
  </si>
  <si>
    <t>4 loads 8" block</t>
  </si>
  <si>
    <t>STEEL HT 1/2i 12MMx6MT</t>
  </si>
  <si>
    <t>Electrical conduit Extensions - Ground floor level</t>
  </si>
  <si>
    <t>Formwork for Ground floor level (80 % complete)</t>
  </si>
  <si>
    <t>38m of 3750psi concrete at 28 days @ $ 419.81  &amp; pump for Ground Floor</t>
  </si>
  <si>
    <t>Ian070921</t>
  </si>
  <si>
    <t>Concrete Cutting Disc</t>
  </si>
  <si>
    <t>Epoxy for connecting steel to concrete and metal cutting disc for cutting the steel.</t>
  </si>
  <si>
    <t>150 props for  3 weeks</t>
  </si>
  <si>
    <t>Stephen Carter</t>
  </si>
  <si>
    <t>Carter's cement ordered 13-Jul</t>
  </si>
  <si>
    <t>Props Extention 30</t>
  </si>
  <si>
    <t xml:space="preserve">First fix electrical installation - First Floor </t>
  </si>
  <si>
    <t>First fix plumbing installation (Hot, cold water &amp; waste) - First Floor</t>
  </si>
  <si>
    <t xml:space="preserve">Installation of rain water pipework (60% complete) </t>
  </si>
  <si>
    <t>1 Ton Steel and wheel barrow</t>
  </si>
  <si>
    <t xml:space="preserve">Formwork for Ground floor level (100% complete) </t>
  </si>
  <si>
    <t>Ready Mix (I extra meter of concrete) (7/9/2021)</t>
  </si>
  <si>
    <t>Scaffolding for 3 weeks (6 Flights)</t>
  </si>
  <si>
    <t>Light &amp; Power</t>
  </si>
  <si>
    <t>2 Loads of 8" blocks</t>
  </si>
  <si>
    <t>300  4" blocks</t>
  </si>
  <si>
    <t>Land Tax</t>
  </si>
  <si>
    <t>Load of 8" Blocks</t>
  </si>
  <si>
    <t>Transfer to Local Rogers FCIB account</t>
  </si>
  <si>
    <t>Misc</t>
  </si>
  <si>
    <t>Hilti Usage</t>
  </si>
  <si>
    <t>Ian080921</t>
  </si>
  <si>
    <t>Diesel</t>
  </si>
  <si>
    <t>Chq # 464  20k Plastering</t>
  </si>
  <si>
    <t>EXTENSION FROM CONT #8366184 Scaffolding for 3 weeks (6 Flights)</t>
  </si>
  <si>
    <t>3-00045209</t>
  </si>
  <si>
    <t>Brian - Mixer 4 weeks 12-Jul to 11-Aug</t>
  </si>
  <si>
    <t>August Bill</t>
  </si>
  <si>
    <t xml:space="preserve">50lb box 3" common nails </t>
  </si>
  <si>
    <t>Formwork for first floor level (45% complete)</t>
  </si>
  <si>
    <t>ARAWAK CEMENT GREY 42.5K</t>
  </si>
  <si>
    <t>3-00045519</t>
  </si>
  <si>
    <t>Paid by Ian to Stephen Carter for props</t>
  </si>
  <si>
    <t>Misc Plumbing</t>
  </si>
  <si>
    <t>3-00045624</t>
  </si>
  <si>
    <t>Misc Eletrical</t>
  </si>
  <si>
    <t>BRC Stirrups</t>
  </si>
  <si>
    <t>Marcia (10K + Sievewright Rogers)</t>
  </si>
  <si>
    <t>Emtage Electric</t>
  </si>
  <si>
    <t>Concrete Nails</t>
  </si>
  <si>
    <t>Two loads of Sand</t>
  </si>
  <si>
    <t>Initial 1/2 deposit on windows</t>
  </si>
  <si>
    <t>FF15</t>
  </si>
  <si>
    <t>Meridian Windows</t>
  </si>
  <si>
    <t>WIN-7313</t>
  </si>
  <si>
    <t>Windows</t>
  </si>
  <si>
    <t>External work plumbing (70% complete)</t>
  </si>
  <si>
    <t>Formwork for first floor level (75% complete)</t>
  </si>
  <si>
    <t>Infrastructure to facilitate future HVAC installation in bedrooms (50%)</t>
  </si>
  <si>
    <t>GL10</t>
  </si>
  <si>
    <t>HVAC</t>
  </si>
  <si>
    <t>3-00046344</t>
  </si>
  <si>
    <t>August Water Bill</t>
  </si>
  <si>
    <t>100 X 4" and 250  8" blocks</t>
  </si>
  <si>
    <t>Deposit for Sub Level French Door and Garage Windows production</t>
  </si>
  <si>
    <t>Odoll's Ltd</t>
  </si>
  <si>
    <t>Doors</t>
  </si>
  <si>
    <t>Deposit for 4 French Doors</t>
  </si>
  <si>
    <t>Kenrick Holder</t>
  </si>
  <si>
    <t>Container Renewal</t>
  </si>
  <si>
    <t>Mixer Rental</t>
  </si>
  <si>
    <t>Formwork for first floor level (100% complete)</t>
  </si>
  <si>
    <t>Ariana's Birthday</t>
  </si>
  <si>
    <t>Scaffolding Extension</t>
  </si>
  <si>
    <t>Ring Beam Concrete</t>
  </si>
  <si>
    <t>FF16</t>
  </si>
  <si>
    <t>Initial 2/2 deposit on windows</t>
  </si>
  <si>
    <t>Ian requesting 20k cheque to push through the remaining plastering, work to fill block holes, related terracing etc  said now @$95k and that will put him @$115k.</t>
  </si>
  <si>
    <t>Scaffold Extension to 15-Oct</t>
  </si>
  <si>
    <t>Rebar (Steel)</t>
  </si>
  <si>
    <t>Misc Masonary items</t>
  </si>
  <si>
    <t>3-00049902</t>
  </si>
  <si>
    <t>35 bags ARAWAK CEMENT GREY 42.5K</t>
  </si>
  <si>
    <t>Transfer Funds to BIM</t>
  </si>
  <si>
    <t>Load Of Sand</t>
  </si>
  <si>
    <t>Load Of Stone</t>
  </si>
  <si>
    <t>Concrete for Ring Beam upstand</t>
  </si>
  <si>
    <t>Scaffold Extension to 29-Oct Rental contract # 8372524</t>
  </si>
  <si>
    <t>WILLRent10292021</t>
  </si>
  <si>
    <t>Scaffold Extension to 29-Oct 8377562</t>
  </si>
  <si>
    <t>Toilet Rental ((Monthly Charge) (Sept to Nov)</t>
  </si>
  <si>
    <t>Exterior Pipe Scafolding Rental and Setup 10/21 - 11/22  (Additional 17 Flights $10 per day)</t>
  </si>
  <si>
    <t>SG Building Maintenance &amp; Finishing Inc.</t>
  </si>
  <si>
    <t>Mixer Rental (10/4)</t>
  </si>
  <si>
    <t>35 bags ARAWAK CEMENT GREY 42.5K (Handling Charge)</t>
  </si>
  <si>
    <t>3-00050465</t>
  </si>
  <si>
    <t>Exterior Pipe Scafolding Rental and Setup 10/21 - 11/22  (Additional 7 Flights $10 per day)</t>
  </si>
  <si>
    <t>2021-1288</t>
  </si>
  <si>
    <t>Erection of roof (15% complete)</t>
  </si>
  <si>
    <t>Placing electrical outlet and switch boxes</t>
  </si>
  <si>
    <t>GL18</t>
  </si>
  <si>
    <t>Electrical Work (Outlet and switch boxes rough-ins)</t>
  </si>
  <si>
    <t>BL&amp;P (October)</t>
  </si>
  <si>
    <t>Misc Purchase ( nails etc) $84 refunded to Marlon for screws and nails purchased by carpenter. Bills total $90.36, difference was a personal pair of gloves.</t>
  </si>
  <si>
    <t>Nails</t>
  </si>
  <si>
    <t>Additional wood for beams</t>
  </si>
  <si>
    <t>3-00050758</t>
  </si>
  <si>
    <t>Misc Masonary Items (nails screws, etc)</t>
  </si>
  <si>
    <t>Container #1 Renewal (18-Oct to 17-Jan)</t>
  </si>
  <si>
    <t>Water Supply</t>
  </si>
  <si>
    <t>Scaffold extension to 12-Nov.</t>
  </si>
  <si>
    <t>Scaffolding Extension 11/16</t>
  </si>
  <si>
    <t>Misc Nails and Screws</t>
  </si>
  <si>
    <t>Erection of roof (45% complete)</t>
  </si>
  <si>
    <t>Hurricane Straps and nails</t>
  </si>
  <si>
    <t>Erection of roof (65% complete)</t>
  </si>
  <si>
    <t>Loads of Sand</t>
  </si>
  <si>
    <t>1,208.92 Carter's stuff  ad-mix + sheet hyrib Ian,  2×6 wood, pvc  board...Marlon. Will send invoice when I see it.</t>
  </si>
  <si>
    <t>Scaffold extension</t>
  </si>
  <si>
    <t>400 Hilty Use and 50 disel reimbursment</t>
  </si>
  <si>
    <t>Ian11132021</t>
  </si>
  <si>
    <t>Misc Masonary Services</t>
  </si>
  <si>
    <t>Steel Crabs</t>
  </si>
  <si>
    <t>Structural Systems</t>
  </si>
  <si>
    <t>Concrete (rafter pour))</t>
  </si>
  <si>
    <t>Concrete Blocks Transportation</t>
  </si>
  <si>
    <t>GL9</t>
  </si>
  <si>
    <t>RB-11152021</t>
  </si>
  <si>
    <t>PVC Boards</t>
  </si>
  <si>
    <t>Wood for Door Frames</t>
  </si>
  <si>
    <t>Toilet Renewal</t>
  </si>
  <si>
    <t>Wood Primer &amp; Paint (White)</t>
  </si>
  <si>
    <t>FF19</t>
  </si>
  <si>
    <t>Harris Paint Barbados LTD</t>
  </si>
  <si>
    <t>Painting (Finishes &amp; Trim)</t>
  </si>
  <si>
    <t>Permaclad Sheeting and parts</t>
  </si>
  <si>
    <t>Electric Bill November</t>
  </si>
  <si>
    <t>Pipe scaffold to 22-Dec.</t>
  </si>
  <si>
    <t>Credit Refund) Concrete (rafter pour))</t>
  </si>
  <si>
    <t>Trowel Plastic (665 lbs Apple and 665 lbs Elegance)</t>
  </si>
  <si>
    <t>SL17</t>
  </si>
  <si>
    <t>Trowel Plastic</t>
  </si>
  <si>
    <t>QT00009299</t>
  </si>
  <si>
    <t>Screws (Screws $79.11  Exchange of screws previous delivered. Payment of difference plus purchase of another box.)</t>
  </si>
  <si>
    <t>3-00053726</t>
  </si>
  <si>
    <t>Other Masonary Misc</t>
  </si>
  <si>
    <t>Treated Pine</t>
  </si>
  <si>
    <t>Windows Caulk</t>
  </si>
  <si>
    <t>xfer from (Marcia)</t>
  </si>
  <si>
    <t>Marcia Rogers</t>
  </si>
  <si>
    <t>Concrete Blocks 8"</t>
  </si>
  <si>
    <t>Concrete Blocks 6"</t>
  </si>
  <si>
    <t>Misc Masonary Items</t>
  </si>
  <si>
    <t>Reimbursment for Roofing Screws</t>
  </si>
  <si>
    <t>Hothersal Trading</t>
  </si>
  <si>
    <t>misc120921_ModBUild</t>
  </si>
  <si>
    <t>Reimbursment for Sqr Deck Screws</t>
  </si>
  <si>
    <t>Fasteners Barbados LTD</t>
  </si>
  <si>
    <t>Roof 89% complete</t>
  </si>
  <si>
    <t>Door Frames</t>
  </si>
  <si>
    <t>Laborers for casting ring beam rafter fill</t>
  </si>
  <si>
    <t>xfer from</t>
  </si>
  <si>
    <t>Xfer to M &amp; S account for insurance &amp; misc purchases</t>
  </si>
  <si>
    <t>Permaclad flashing</t>
  </si>
  <si>
    <t>Purchase of Mortar Mix and Misc. concrete nails</t>
  </si>
  <si>
    <t>Reimbursement for Purchase of Mortar Mix and Misc. concrete nails</t>
  </si>
  <si>
    <t>extension of scaffold as per email sent</t>
  </si>
  <si>
    <t>3 weeks use of the mixer between 11-Nov and 10-Dec.</t>
  </si>
  <si>
    <t>Guttering parts</t>
  </si>
  <si>
    <t>Wolseley</t>
  </si>
  <si>
    <t>Facia Board painting</t>
  </si>
  <si>
    <t>Desmond (Harclyde Bedford)</t>
  </si>
  <si>
    <t>Des12212021</t>
  </si>
  <si>
    <t>Misc Painting Supplies Refund</t>
  </si>
  <si>
    <t>Ian01292022</t>
  </si>
  <si>
    <t>$510.  Container #2
Expired 6-Dec.  Extended 2 months to 6-Feb.</t>
  </si>
  <si>
    <t>Water Supply Nov thru Dec</t>
  </si>
  <si>
    <t>10 bags of fiber Mesh for Concrete</t>
  </si>
  <si>
    <t>Greg (From Carters)</t>
  </si>
  <si>
    <t>Mortor Bond PVA</t>
  </si>
  <si>
    <t>Out of Pocket (Greg)</t>
  </si>
  <si>
    <t>Misc Concrete Nails</t>
  </si>
  <si>
    <t>Stainless Steel Butt/hinges</t>
  </si>
  <si>
    <t xml:space="preserve"> 8 Parliament Hinges Brass</t>
  </si>
  <si>
    <t>Greg (From Blades &amp; Williams)</t>
  </si>
  <si>
    <t>Door Bolts and Deabolt Locks</t>
  </si>
  <si>
    <t>Final Deposit on Exterior Doors</t>
  </si>
  <si>
    <t>Wood Filler &amp; Silicone</t>
  </si>
  <si>
    <t>Tying Wire for steel mats and cages</t>
  </si>
  <si>
    <t>Therminex Pesticide Treatment 1Gal</t>
  </si>
  <si>
    <t>GL11</t>
  </si>
  <si>
    <t>Discount Hardware Store, Charles Rowe Bridge</t>
  </si>
  <si>
    <t>Dig stairway, fence and pathway footing and brush removal</t>
  </si>
  <si>
    <t>Cement Mixer (12/11/2021 to 1/10/2022</t>
  </si>
  <si>
    <t>Scaffolding Extension till 1/28</t>
  </si>
  <si>
    <t>30 % Exterior Trowel Plastering</t>
  </si>
  <si>
    <t>Des01152022</t>
  </si>
  <si>
    <t>Misc Purchases (masking tape etc)</t>
  </si>
  <si>
    <t>3 X Teledo dbl comboset S/S locks</t>
  </si>
  <si>
    <t>Commanding T strips for French doors</t>
  </si>
  <si>
    <t>8 meters of Sand</t>
  </si>
  <si>
    <t>Skip to collect rubbish</t>
  </si>
  <si>
    <t>Garbage Gobbler</t>
  </si>
  <si>
    <t>Container #1 extended 2 months from 18-Jan.  $510.00</t>
  </si>
  <si>
    <t>8 meters of sand</t>
  </si>
  <si>
    <t>SG02172020</t>
  </si>
  <si>
    <t>Small skip 2 cubic metres ordered for delivery tomorrow. $124.55 for one day</t>
  </si>
  <si>
    <t>RM Garbage Master LTD</t>
  </si>
  <si>
    <t>Hilti Nails &amp; Shots</t>
  </si>
  <si>
    <t>Ceiling</t>
  </si>
  <si>
    <t>Ceiling material for Ground &amp; 1st FL</t>
  </si>
  <si>
    <t>Off Hours Site Cleanup</t>
  </si>
  <si>
    <t>Nicholas Small</t>
  </si>
  <si>
    <t>Building window cills (20 no. @ $55/each)</t>
  </si>
  <si>
    <t>Building &amp; Installing door frames (75 % complete)</t>
  </si>
  <si>
    <t>Less previous payment received for building &amp; installing door frames</t>
  </si>
  <si>
    <t>Installing external doors (5 no. @ $80/ each)</t>
  </si>
  <si>
    <t>Installation of door locks (4 no. @ $55 /each)</t>
  </si>
  <si>
    <t>Installation of bolts (4 no. @ $20 /each)</t>
  </si>
  <si>
    <t>Building and installing decorative cap formwork (37ft @ $22/ft)</t>
  </si>
  <si>
    <t>Weldcrete and screws for the apartment windows.</t>
  </si>
  <si>
    <t>SL5</t>
  </si>
  <si>
    <t>Scaffold extension 29-Jan to 18-Feb</t>
  </si>
  <si>
    <t>Marking Paint</t>
  </si>
  <si>
    <t>Ceiling material for Ground &amp; 1st FL (Gypson Board)</t>
  </si>
  <si>
    <t>Cat3-00059380</t>
  </si>
  <si>
    <t>Drywall Screws</t>
  </si>
  <si>
    <t>Fixtures &amp; Fittings</t>
  </si>
  <si>
    <t>Jan-22 Water Bill</t>
  </si>
  <si>
    <t>Grease Traps</t>
  </si>
  <si>
    <t>Toilet Rental</t>
  </si>
  <si>
    <t>Erection of suspended ceilings (60 %)</t>
  </si>
  <si>
    <t>MB-22021501</t>
  </si>
  <si>
    <t>50% payment for the laminated beams and columns to Joiner (Roger Forde)</t>
  </si>
  <si>
    <t>RF-02152022</t>
  </si>
  <si>
    <t>Joiner doesn't do online banking so have to pay him through Modern Builders</t>
  </si>
  <si>
    <t>Laminated Beams for Patio</t>
  </si>
  <si>
    <t>Electric Supply</t>
  </si>
  <si>
    <t>Concrete Mixer usage of 2 weeks and 3 days between 11-Jan and 10-Feb</t>
  </si>
  <si>
    <t>5 hrs of excavator work @150 per hr</t>
  </si>
  <si>
    <t>Water resistant SHEETROCK 1-2 4X8 P-REY MOLD</t>
  </si>
  <si>
    <t xml:space="preserve"> </t>
  </si>
  <si>
    <t>Cement &amp; Mortar</t>
  </si>
  <si>
    <t>Initial Water connection fee balance</t>
  </si>
  <si>
    <t>Scaffold extension to 25-Feb</t>
  </si>
  <si>
    <t>Fiber Mesh 2 lb for cement</t>
  </si>
  <si>
    <t>3-00060307</t>
  </si>
  <si>
    <t>Painting Supplies</t>
  </si>
  <si>
    <t>Two Interior dors</t>
  </si>
  <si>
    <t>5 Meters of Stone</t>
  </si>
  <si>
    <t>SikaFlex</t>
  </si>
  <si>
    <t>Erections of Ceilings</t>
  </si>
  <si>
    <t>Final 50% payment for the laminated beams and columns to Joiner (Roger Forde)</t>
  </si>
  <si>
    <t>Misc Electrical items (Reim to Marlon)</t>
  </si>
  <si>
    <t>Shower Mixers BIM Shipping Cost</t>
  </si>
  <si>
    <t>Laparkan</t>
  </si>
  <si>
    <t>First FL Lily White Ceiling Trowel Plastic (665 lbs)</t>
  </si>
  <si>
    <t>Masonary Supplies</t>
  </si>
  <si>
    <t>Ian030922</t>
  </si>
  <si>
    <t>Cement Handling Charges</t>
  </si>
  <si>
    <t>Container Rental</t>
  </si>
  <si>
    <t>Toilet rental</t>
  </si>
  <si>
    <t>MB-03182022</t>
  </si>
  <si>
    <t>Hilti Use on footing (Greg Yearwood (Ian))</t>
  </si>
  <si>
    <t>Windows for garage</t>
  </si>
  <si>
    <t>Cement Mixer Rental (Feb _ March)</t>
  </si>
  <si>
    <t>Water Bill (March)</t>
  </si>
  <si>
    <t>20 X Corona Porcelain Tiles Nebraska Ivory 56.6x56.6</t>
  </si>
  <si>
    <t>KooyMan</t>
  </si>
  <si>
    <t>Tiling</t>
  </si>
  <si>
    <t>280 X Corona Porcelain Tiles Nebraska Ivory 56.6x56.7</t>
  </si>
  <si>
    <t xml:space="preserve">Tile Cement </t>
  </si>
  <si>
    <t>3-00062265</t>
  </si>
  <si>
    <t>Lumber</t>
  </si>
  <si>
    <t>Scaffold extension to 3/25</t>
  </si>
  <si>
    <t>Wire Transfer</t>
  </si>
  <si>
    <t>All Phase Electrical Supplies Inc</t>
  </si>
  <si>
    <t>90 Degree Angle Brakets</t>
  </si>
  <si>
    <t>Misc Masonary supplies (Dianne Refund)</t>
  </si>
  <si>
    <t>Misc Electrical supplies (Dianne Refund)</t>
  </si>
  <si>
    <t>Toilet services</t>
  </si>
  <si>
    <t>50 X Corona Porcelain Tiles Nebraska Ivory 56.6x56.6</t>
  </si>
  <si>
    <t>MB-04062022</t>
  </si>
  <si>
    <t>Permaclad and Roofing Supplies</t>
  </si>
  <si>
    <t>Building and installing decorative cap formwork for entrance Porch</t>
  </si>
  <si>
    <t>Blocking up garage entrance (building and installing door)</t>
  </si>
  <si>
    <t>Tiling first floor (payment on account)</t>
  </si>
  <si>
    <t>Erection of roof (97% complete)</t>
  </si>
  <si>
    <t>Building and installing door frames (90% complete)</t>
  </si>
  <si>
    <t>15 bags of ARAWAK CEMENT GREY 42.5K</t>
  </si>
  <si>
    <t>Tiles</t>
  </si>
  <si>
    <t>Tile Hut</t>
  </si>
  <si>
    <t>Construction Insurance for 2 months</t>
  </si>
  <si>
    <t xml:space="preserve">City Of Bridgetown </t>
  </si>
  <si>
    <t>Misc Painting Supplies Reimburstment</t>
  </si>
  <si>
    <t>Des04142022</t>
  </si>
  <si>
    <t>Ceiling Trowel Plastic</t>
  </si>
  <si>
    <t>Non Sanded Grout</t>
  </si>
  <si>
    <t>Scaffolding extension (4/9 thru 5/6)</t>
  </si>
  <si>
    <t>6 meers of stone</t>
  </si>
  <si>
    <t>Nails and Misc Supplies</t>
  </si>
  <si>
    <t>Plywood</t>
  </si>
  <si>
    <t>Masonary nails and Plywood</t>
  </si>
  <si>
    <t>Hilti to level ground floor</t>
  </si>
  <si>
    <t>Masonary Steel</t>
  </si>
  <si>
    <t>Metal Cutting Disk &amp; Fibers</t>
  </si>
  <si>
    <t>Electrical Fixtures</t>
  </si>
  <si>
    <t>Steel Rebar</t>
  </si>
  <si>
    <t>GL19</t>
  </si>
  <si>
    <t>Mortar Admix</t>
  </si>
  <si>
    <t>Scaffolding extension (thru 5/20)</t>
  </si>
  <si>
    <t>Well Rings</t>
  </si>
  <si>
    <t>Barbados Steel Works</t>
  </si>
  <si>
    <t>Desil &amp; Hilti Use</t>
  </si>
  <si>
    <t>Biscuit Grout</t>
  </si>
  <si>
    <t>Pine for Cabinets and Closets</t>
  </si>
  <si>
    <t>3-00065687</t>
  </si>
  <si>
    <t>Wardrobes, Vanities &amp; laundry Units</t>
  </si>
  <si>
    <t>Handling Charge</t>
  </si>
  <si>
    <t>Hex XL Calacatta Goldmatte Mosiac Tiles</t>
  </si>
  <si>
    <t>Terrific Tiles</t>
  </si>
  <si>
    <t>Residenza Rapollano Pol Shiny 30x60cm Tiles</t>
  </si>
  <si>
    <t>Keystone</t>
  </si>
  <si>
    <t>Delivery Residenza Rapollano Pol Shiny 30x60cm Tiles</t>
  </si>
  <si>
    <t>Masonary &amp; Concrete Nails</t>
  </si>
  <si>
    <t>Pine for Boxing</t>
  </si>
  <si>
    <t>8 x PVC Tilestrip Jasmin</t>
  </si>
  <si>
    <t>A98 BRC Fabrics</t>
  </si>
  <si>
    <t>Sandless white grout</t>
  </si>
  <si>
    <t>Matt Silver  roundTile Strips (returned)</t>
  </si>
  <si>
    <t>Tiling floor areas (payment on account)</t>
  </si>
  <si>
    <t>Erecting decking and side formwork for Apartment deck and under stair storage (90% complete)</t>
  </si>
  <si>
    <t>Erection of formwork for suspended stairs, apartment stairs and stairs leading from parking bay</t>
  </si>
  <si>
    <t>3-00066422</t>
  </si>
  <si>
    <t>Handling Charge Cement</t>
  </si>
  <si>
    <t>MiscElectrical</t>
  </si>
  <si>
    <t>Water</t>
  </si>
  <si>
    <t>8 x PVC Tilestrip Jasmin (Returned)</t>
  </si>
  <si>
    <t>Concrete for exterior ground</t>
  </si>
  <si>
    <t>Labor for exterior ground concrete</t>
  </si>
  <si>
    <t>2 Fence Poles for Car Park</t>
  </si>
  <si>
    <t>DAJ Manufacturing</t>
  </si>
  <si>
    <t>Termite treatment for driveway and stairs.</t>
  </si>
  <si>
    <t>Props for  3 weeks as per email.</t>
  </si>
  <si>
    <t>Patio Painting Supplies</t>
  </si>
  <si>
    <t>Concrete Overage</t>
  </si>
  <si>
    <t>the labor cost for the work done at the front was done is$2550 includes the 4step and the rest of the boxing work.</t>
  </si>
  <si>
    <t>Paraphet and front porch Design  construction</t>
  </si>
  <si>
    <t>3-00067323</t>
  </si>
  <si>
    <t>Nmasonary Nails</t>
  </si>
  <si>
    <t>Exterior Gardens &amp; Pavement Extras</t>
  </si>
  <si>
    <t>Misc Supplies (Refunded to Marlon)</t>
  </si>
  <si>
    <t>Building Closets (payment on account)</t>
  </si>
  <si>
    <t>Interior Outfittings and Schedules Design</t>
  </si>
  <si>
    <t>Drawer Slides (Undermount Soft Closing Drawer Slides 16" &amp; 18")</t>
  </si>
  <si>
    <t>Xclusive Products Inc.</t>
  </si>
  <si>
    <t>Erecting decking and side formwork for Apartment deck and under stair storage (100% complete)</t>
  </si>
  <si>
    <t>Additional Tiles</t>
  </si>
  <si>
    <t>8" Blocks</t>
  </si>
  <si>
    <t>Kitchen &amp; Pantry Cupboards</t>
  </si>
  <si>
    <t>Gym Tiles</t>
  </si>
  <si>
    <t>Mixer Use</t>
  </si>
  <si>
    <t>Building Closets (65% complete)</t>
  </si>
  <si>
    <t>Tiling bathroom wall areas (65%)</t>
  </si>
  <si>
    <t>Building Kitchen cubpboards (25% complete)</t>
  </si>
  <si>
    <t>Honduras Pine</t>
  </si>
  <si>
    <t>1/2 inch Hondurus Pine Ply</t>
  </si>
  <si>
    <t>Backsplash &amp; Shower Bottom Tiles</t>
  </si>
  <si>
    <t>Barbados Customs</t>
  </si>
  <si>
    <t>Air Freight for Electrical lights</t>
  </si>
  <si>
    <t>Skyline Cargo Ltd</t>
  </si>
  <si>
    <t>SL 17</t>
  </si>
  <si>
    <t>Arawak Cement GREY 42.5K &amp; Steel</t>
  </si>
  <si>
    <t>Guard Wall Extras</t>
  </si>
  <si>
    <t>1-1/4 12X 14 Wood</t>
  </si>
  <si>
    <t>Kingslide Undermount with Clips</t>
  </si>
  <si>
    <t>Island Tiles</t>
  </si>
  <si>
    <t>Drawer Slides EXT Umount</t>
  </si>
  <si>
    <t>Exotic Woods</t>
  </si>
  <si>
    <t>MB07072022</t>
  </si>
  <si>
    <t>Screws )</t>
  </si>
  <si>
    <t>MB07072023</t>
  </si>
  <si>
    <t>MB07072024</t>
  </si>
  <si>
    <t>Floor Drain</t>
  </si>
  <si>
    <t>MB07072025</t>
  </si>
  <si>
    <t>Kreg Screws</t>
  </si>
  <si>
    <t>MB07072026</t>
  </si>
  <si>
    <t>Concrete Blocks</t>
  </si>
  <si>
    <t>Misc Tiling Supplies</t>
  </si>
  <si>
    <t>Arawak Cement</t>
  </si>
  <si>
    <t>3-00069948</t>
  </si>
  <si>
    <t>Masomary Nails</t>
  </si>
  <si>
    <t>Building Kitchen cubpboards (70% complete)</t>
  </si>
  <si>
    <t>Building Closets (75% complete)</t>
  </si>
  <si>
    <t>Tiling bathroom wall areas (90%)</t>
  </si>
  <si>
    <t>Masonary Survices (Exterior Gardens &amp; Pavement Extras)</t>
  </si>
  <si>
    <t>Eletrical Supplies</t>
  </si>
  <si>
    <t>Downpayment on Cabinetry Face Build 50%</t>
  </si>
  <si>
    <t>Roger Forde</t>
  </si>
  <si>
    <t>Kitchen Cabinet Draws &amp; Doors</t>
  </si>
  <si>
    <t>12 bags of cement</t>
  </si>
  <si>
    <t>Complete painting of faceboard</t>
  </si>
  <si>
    <t xml:space="preserve">Complete installation of guttering </t>
  </si>
  <si>
    <t>TH-07202022</t>
  </si>
  <si>
    <t xml:space="preserve">Countertop slab </t>
  </si>
  <si>
    <t>Recessed lighting 4"</t>
  </si>
  <si>
    <t>Kooyman</t>
  </si>
  <si>
    <t xml:space="preserve">8 bags of Cement </t>
  </si>
  <si>
    <t>S/Close Hinges</t>
  </si>
  <si>
    <t>Trowel Plastic (interior paints) 50%</t>
  </si>
  <si>
    <t>Returned Tiles</t>
  </si>
  <si>
    <t>TH-07232022</t>
  </si>
  <si>
    <t>Returned Quartz</t>
  </si>
  <si>
    <t>Quartz Slab (Snow White)</t>
  </si>
  <si>
    <t>Delivery charge</t>
  </si>
  <si>
    <t>Pine for Balcony rails</t>
  </si>
  <si>
    <t>Tiling stairs (70% complete)</t>
  </si>
  <si>
    <t>22073801A</t>
  </si>
  <si>
    <t>Electrical conduit extensions (100 % complete)</t>
  </si>
  <si>
    <t>Electrical circuit wiring (50% complete)</t>
  </si>
  <si>
    <t>Electrical Work (Circuit Wiring)</t>
  </si>
  <si>
    <t>July Water bill</t>
  </si>
  <si>
    <t>Scaffolding Extension refund</t>
  </si>
  <si>
    <t>Building and installing door frames (100 % complete)</t>
  </si>
  <si>
    <t>Building Kitchen cubpboards (90% complete)</t>
  </si>
  <si>
    <t>Toilets $1,362 ($1,292+$70 delivery to be paid separately)</t>
  </si>
  <si>
    <t>Construction of Vanities Deposit</t>
  </si>
  <si>
    <t>Final payment on Kitchen Cabinetry Face Build</t>
  </si>
  <si>
    <t xml:space="preserve"> believe these are rail related. Order was broken up based on who had what.</t>
  </si>
  <si>
    <t>L G Lumber Hardware Inc</t>
  </si>
  <si>
    <t>$1,054.90 wood from  Marshall's Trading.</t>
  </si>
  <si>
    <t>Refund to Marlon for supplies</t>
  </si>
  <si>
    <t>Mobilisation deposit for supplying and installation of vanity countertops</t>
  </si>
  <si>
    <t>Lumber Supplies (Pine)</t>
  </si>
  <si>
    <t>Toilet Services thru August</t>
  </si>
  <si>
    <t>Grout</t>
  </si>
  <si>
    <t>Trowel Plastic Delivery charge</t>
  </si>
  <si>
    <t>LED light bulbs</t>
  </si>
  <si>
    <t>Painting Services (drawdown of $3500.00 for the two patios on the north side as they were finish)</t>
  </si>
  <si>
    <t>Tiling Supplies</t>
  </si>
  <si>
    <t>Lumber Supplies (9 pieces Pine) (Railing Construction)</t>
  </si>
  <si>
    <t>Funds Transfer for Construction</t>
  </si>
  <si>
    <t>Marcia &amp; Sievewright</t>
  </si>
  <si>
    <t>Deposit on building of Front Gates (To Desmond for Bejamin Wise)</t>
  </si>
  <si>
    <t>Bengamin Wise</t>
  </si>
  <si>
    <t>Supply and installation of bathroom vanity countertops (100 %)</t>
  </si>
  <si>
    <t>MB22081701</t>
  </si>
  <si>
    <t>Fabrication of vanity doors and closet drawer faces</t>
  </si>
  <si>
    <t>Fabrication of external handrail for Ground floor Terrace (42 ft @ $70/ ft)</t>
  </si>
  <si>
    <t>Fabrication of external handrail for First floor Terrace (45 ft @ $70/ ft ) + (4 columns @ $55 / ech)</t>
  </si>
  <si>
    <t>Parts for carport fencing</t>
  </si>
  <si>
    <t>Fenceit</t>
  </si>
  <si>
    <t>Deck screws for bannisters</t>
  </si>
  <si>
    <t>MB08252022</t>
  </si>
  <si>
    <t>Treated Pine for Bannisters</t>
  </si>
  <si>
    <t>Lumber for Banisters</t>
  </si>
  <si>
    <t>Fabrication of internal stair handrails (49ft @ $70/ ft ) + (4 columns @ $55 / each)</t>
  </si>
  <si>
    <t>MB22082501</t>
  </si>
  <si>
    <t>Toilets return and pickup</t>
  </si>
  <si>
    <t>Transportation for toilets</t>
  </si>
  <si>
    <t>Ryan Thompson</t>
  </si>
  <si>
    <t>Supply and installation of laundry cupboard countertop (100 %)</t>
  </si>
  <si>
    <t>Building kitchen cupboards (90% complete)</t>
  </si>
  <si>
    <t>Tiling internal stairs</t>
  </si>
  <si>
    <t>Tiling external steps and landing fronm kitchen and terrace</t>
  </si>
  <si>
    <t>MISC (Charles Rowe Bridge Disc Hardware) 6/22/22</t>
  </si>
  <si>
    <t>MBmiscBills</t>
  </si>
  <si>
    <t>Xclusive Products 8/25/2022 Invoice # 16676</t>
  </si>
  <si>
    <t>13</t>
  </si>
  <si>
    <t>Misc Electrical Supplies (A F Electrical) 5/8/22</t>
  </si>
  <si>
    <t>MISC (Charles Rowe Bridge Disc Hardware) 3/18/22</t>
  </si>
  <si>
    <t>Precision Electical Sales 376091  3/16/22</t>
  </si>
  <si>
    <t>Misc Electrical Supplies (A F Electrical) 4/7/22</t>
  </si>
  <si>
    <t>Emtage Electic (7/22/22)</t>
  </si>
  <si>
    <t>Misc Electrical Supplies (A F Electrical) 8/12/22</t>
  </si>
  <si>
    <t>HB Hardware (Misc Elec Supplies)</t>
  </si>
  <si>
    <t>Gang Plates</t>
  </si>
  <si>
    <t>All Phase Electric</t>
  </si>
  <si>
    <t>Oak Wood Cream Rustic</t>
  </si>
  <si>
    <t>Blanco LF BR</t>
  </si>
  <si>
    <t>Provisions for future HVAC</t>
  </si>
  <si>
    <t>MB22090601</t>
  </si>
  <si>
    <t>Fabrication of kitchen cupboard countertop</t>
  </si>
  <si>
    <t>Electrical circuit wiring (85 % complete)</t>
  </si>
  <si>
    <t>Plumbing - External works</t>
  </si>
  <si>
    <t>Plumbing - underground water tank</t>
  </si>
  <si>
    <t>Plumbing - Hot and cold water installation</t>
  </si>
  <si>
    <t>Funds Transfer</t>
  </si>
  <si>
    <t>Pedastal Sink</t>
  </si>
  <si>
    <t>Fencing Install</t>
  </si>
  <si>
    <t>Window Caulking (6)</t>
  </si>
  <si>
    <t>windows</t>
  </si>
  <si>
    <t>Window Caulking (3)</t>
  </si>
  <si>
    <t>Misc Electrical</t>
  </si>
  <si>
    <t>Williams Electrical</t>
  </si>
  <si>
    <t>Inside Trowel Plastering</t>
  </si>
  <si>
    <t>Cement &amp; Nails</t>
  </si>
  <si>
    <t>Trowel Plastic supply</t>
  </si>
  <si>
    <t>Funds Transferred (from FCIB acct)</t>
  </si>
  <si>
    <t>Misc Refunds to Desm0nd</t>
  </si>
  <si>
    <t>DH10102020</t>
  </si>
  <si>
    <t>Clean Supplies Shipment Fees</t>
  </si>
  <si>
    <t>Massey Trading</t>
  </si>
  <si>
    <t xml:space="preserve">Tile Cement reimbursment </t>
  </si>
  <si>
    <t>Precision Electrical</t>
  </si>
  <si>
    <t>Barbados Customs &amp; Exercise Fees</t>
  </si>
  <si>
    <t>Barbados Customs &amp; Exercise</t>
  </si>
  <si>
    <t>Cleaning Supplies</t>
  </si>
  <si>
    <t># 12 AWG Red/Black/Greek rolls</t>
  </si>
  <si>
    <t>Moulding for Doors</t>
  </si>
  <si>
    <t>Carters (Diff from door exchange)</t>
  </si>
  <si>
    <t>Carters</t>
  </si>
  <si>
    <t>Mixer USE final</t>
  </si>
  <si>
    <t>Donation from Wilma</t>
  </si>
  <si>
    <t>Wilma Roberts</t>
  </si>
  <si>
    <t>Indoor Bath and Bed door knobs</t>
  </si>
  <si>
    <t>Misc Supplies</t>
  </si>
  <si>
    <t>H&amp;B Hardware &amp; Lumber</t>
  </si>
  <si>
    <t>Scaffolding for final work</t>
  </si>
  <si>
    <t>Partial payment for gate building</t>
  </si>
  <si>
    <t>First floor cabinet painting</t>
  </si>
  <si>
    <t>DH11142022</t>
  </si>
  <si>
    <t>Painting Kitchen Cabinet Draws &amp; Doors</t>
  </si>
  <si>
    <t>Master Bath cabinet painting</t>
  </si>
  <si>
    <t>Final payment for gate building</t>
  </si>
  <si>
    <t>Misc Painting Supplies #810055710 (10/21/22)</t>
  </si>
  <si>
    <t>DH12172022</t>
  </si>
  <si>
    <t>Misc Painting Supplies #830041598 (10/25/22)</t>
  </si>
  <si>
    <t>Misc Painting Supplies &amp; bolts for Gate #870037068 (11/1/22)</t>
  </si>
  <si>
    <t>Misc Painting Supplies #820050243 (12/6/22)</t>
  </si>
  <si>
    <t>Venitian blinds for Mbedroom</t>
  </si>
  <si>
    <t>Solid Door (Apt/Main home)</t>
  </si>
  <si>
    <t>Hot Water for home (Solar Dynamics)</t>
  </si>
  <si>
    <t>Kooy122422</t>
  </si>
  <si>
    <t>Curtain rods &amp; Misc</t>
  </si>
  <si>
    <t>PVC blinds</t>
  </si>
  <si>
    <t>Burgular Bars for Gym</t>
  </si>
  <si>
    <t>Andy Osbourne</t>
  </si>
  <si>
    <t>out of Pocket (Greg)</t>
  </si>
  <si>
    <t>Painting Doors &amp; Jams</t>
  </si>
  <si>
    <t>Des02212023</t>
  </si>
  <si>
    <t>Painting Handrails</t>
  </si>
  <si>
    <t>Misc Painting Suppplies</t>
  </si>
  <si>
    <t>Installation of Potable Water Tank</t>
  </si>
  <si>
    <t>Desmond Holder</t>
  </si>
  <si>
    <t>DesHol</t>
  </si>
  <si>
    <t>2/21//23</t>
  </si>
  <si>
    <t>Doors Installation (Interior)</t>
  </si>
  <si>
    <t>Misc Supplies (Saw Blades)</t>
  </si>
  <si>
    <r>
      <t xml:space="preserve">Refer to invoice </t>
    </r>
    <r>
      <rPr>
        <i/>
        <sz val="12"/>
        <color rgb="FFFF0000"/>
        <rFont val="Times New Roman"/>
        <family val="1"/>
        <scheme val="minor"/>
      </rPr>
      <t>216 dated 11/10/22 (Sean Granison_Oct 2022.pdf)</t>
    </r>
    <r>
      <rPr>
        <sz val="12"/>
        <color rgb="FFFF0000"/>
        <rFont val="Times New Roman"/>
        <family val="1"/>
        <scheme val="minor"/>
      </rPr>
      <t xml:space="preserve"> On Time Freight &amp; Construction</t>
    </r>
  </si>
  <si>
    <t>Jacuzzi and Shower Doors</t>
  </si>
  <si>
    <t>Platinum Imports</t>
  </si>
  <si>
    <t>Gas Installation</t>
  </si>
  <si>
    <t>Rubis</t>
  </si>
  <si>
    <t>Port Fees</t>
  </si>
  <si>
    <t>Blue Waters</t>
  </si>
  <si>
    <t>Container transportation and unstuffing Fees</t>
  </si>
  <si>
    <t>Hank</t>
  </si>
  <si>
    <t>Shipping Brooker Fee</t>
  </si>
  <si>
    <t>Lewellan Tull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</si>
</sst>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7" formatCode="&quot;$&quot;#,##0.00_);\(&quot;$&quot;#,##0.00\)"/>
    <numFmt numFmtId="8" formatCode="&quot;$&quot;#,##0.00_);[Red]\(&quot;$&quot;#,##0.00\)"/>
    <numFmt numFmtId="43" formatCode="_(* #,##0.00_);_(* \(#,##0.00\);_(* &quot;-&quot;??_);_(@_)"/>
    <numFmt numFmtId="164" formatCode="_(* #,##0_);_(* \(#,##0\);_(* &quot;-&quot;??_);_(@_)"/>
    <numFmt numFmtId="165" formatCode="&quot;$&quot;#,##0.00"/>
    <numFmt numFmtId="166" formatCode="&quot;$&quot;#,##0.0000000"/>
    <numFmt numFmtId="167" formatCode="&quot;$&quot;#,##0.000000"/>
    <numFmt numFmtId="168" formatCode="ddd\,\ mm/dd/yy"/>
  </numFmts>
  <fonts count="13" x14ac:knownFonts="1">
    <font>
      <sz val="12"/>
      <color theme="4" tint="-0.499984740745262"/>
      <name val="Times New Roman"/>
      <family val="2"/>
      <scheme val="minor"/>
    </font>
    <font>
      <sz val="11"/>
      <color theme="1"/>
      <name val="Times New Roman"/>
      <family val="2"/>
      <scheme val="minor"/>
    </font>
    <font>
      <sz val="11"/>
      <color rgb="FFFF0000"/>
      <name val="Times New Roman"/>
      <family val="2"/>
      <scheme val="minor"/>
    </font>
    <font>
      <sz val="12"/>
      <color theme="4" tint="-0.499984740745262"/>
      <name val="Times New Roman"/>
      <family val="2"/>
      <scheme val="minor"/>
    </font>
    <font>
      <b/>
      <sz val="12"/>
      <color theme="4" tint="-0.499984740745262"/>
      <name val="Times New Roman"/>
      <family val="1"/>
      <scheme val="minor"/>
    </font>
    <font>
      <sz val="12"/>
      <name val="Times New Roman"/>
      <family val="2"/>
      <scheme val="minor"/>
    </font>
    <font>
      <sz val="11"/>
      <name val="Times New Roman"/>
      <family val="2"/>
      <scheme val="minor"/>
    </font>
    <font>
      <sz val="12"/>
      <color rgb="FFFF0000"/>
      <name val="Times New Roman"/>
      <family val="2"/>
      <scheme val="minor"/>
    </font>
    <font>
      <b/>
      <sz val="12"/>
      <color rgb="FFFF0000"/>
      <name val="Times New Roman"/>
      <family val="1"/>
      <scheme val="minor"/>
    </font>
    <font>
      <sz val="12"/>
      <color theme="4"/>
      <name val="Times New Roman"/>
      <family val="2"/>
      <scheme val="minor"/>
    </font>
    <font>
      <sz val="12"/>
      <color rgb="FF4472C4"/>
      <name val="Calibri"/>
      <family val="2"/>
    </font>
    <font>
      <sz val="12"/>
      <color rgb="FFFF0000"/>
      <name val="Times New Roman"/>
      <family val="1"/>
      <scheme val="minor"/>
    </font>
    <font>
      <i/>
      <sz val="12"/>
      <color rgb="FFFF0000"/>
      <name val="Times New Roman"/>
      <family val="1"/>
      <scheme val="minor"/>
    </font>
  </fonts>
  <fills count="12">
    <fill>
      <patternFill patternType="none"/>
    </fill>
    <fill>
      <patternFill patternType="gray125"/>
    </fill>
    <fill>
      <patternFill patternType="solid">
        <fgColor theme="6" tint="0.79998168889431442"/>
        <bgColor indexed="65"/>
      </patternFill>
    </fill>
    <fill>
      <patternFill patternType="solid">
        <fgColor theme="6" tint="0.79998168889431442"/>
        <bgColor indexed="64"/>
      </patternFill>
    </fill>
    <fill>
      <patternFill patternType="solid">
        <fgColor rgb="FFFFC000"/>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6" tint="0.59999389629810485"/>
        <bgColor indexed="64"/>
      </patternFill>
    </fill>
  </fills>
  <borders count="16">
    <border>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top style="thin">
        <color indexed="64"/>
      </top>
      <bottom style="double">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ck">
        <color theme="4"/>
      </top>
      <bottom style="thin">
        <color indexed="64"/>
      </bottom>
      <diagonal/>
    </border>
    <border>
      <left style="thin">
        <color indexed="64"/>
      </left>
      <right style="thin">
        <color indexed="64"/>
      </right>
      <top style="thin">
        <color indexed="64"/>
      </top>
      <bottom style="thin">
        <color theme="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rgb="FF4472C4"/>
      </top>
      <bottom style="thin">
        <color rgb="FF4472C4"/>
      </bottom>
      <diagonal/>
    </border>
  </borders>
  <cellStyleXfs count="5">
    <xf numFmtId="0" fontId="0" fillId="0" borderId="0">
      <alignment horizontal="left" vertical="center" wrapText="1"/>
    </xf>
    <xf numFmtId="43" fontId="3" fillId="0" borderId="0" applyFont="0" applyFill="0" applyBorder="0" applyAlignment="0" applyProtection="0"/>
    <xf numFmtId="165" fontId="3" fillId="0" borderId="0" applyFill="0" applyBorder="0" applyProtection="0">
      <alignment horizontal="right" vertical="center"/>
    </xf>
    <xf numFmtId="0" fontId="1" fillId="2" borderId="0" applyNumberFormat="0" applyBorder="0" applyAlignment="0" applyProtection="0"/>
    <xf numFmtId="0" fontId="1" fillId="0" borderId="0"/>
  </cellStyleXfs>
  <cellXfs count="245">
    <xf numFmtId="0" fontId="0" fillId="0" borderId="0" xfId="0">
      <alignment horizontal="left" vertical="center" wrapText="1"/>
    </xf>
    <xf numFmtId="0" fontId="0" fillId="0" borderId="0" xfId="0" applyAlignment="1">
      <alignment horizontal="center" vertical="center" wrapText="1"/>
    </xf>
    <xf numFmtId="164" fontId="0" fillId="0" borderId="0" xfId="1" applyNumberFormat="1" applyFont="1" applyAlignment="1">
      <alignment vertical="center" wrapText="1"/>
    </xf>
    <xf numFmtId="0" fontId="0" fillId="0" borderId="0" xfId="0" applyAlignment="1">
      <alignment horizontal="right" vertical="center" wrapText="1"/>
    </xf>
    <xf numFmtId="0" fontId="0" fillId="0" borderId="1" xfId="0" applyBorder="1" applyAlignment="1">
      <alignment horizontal="center" vertical="center" wrapText="1"/>
    </xf>
    <xf numFmtId="165" fontId="3" fillId="0" borderId="0" xfId="2">
      <alignment horizontal="right" vertical="center"/>
    </xf>
    <xf numFmtId="165" fontId="0" fillId="0" borderId="0" xfId="2" applyFont="1">
      <alignment horizontal="right" vertical="center"/>
    </xf>
    <xf numFmtId="0" fontId="0" fillId="3" borderId="0" xfId="0" applyFill="1" applyAlignment="1">
      <alignment vertical="top" wrapText="1"/>
    </xf>
    <xf numFmtId="10" fontId="0" fillId="0" borderId="0" xfId="0" applyNumberFormat="1">
      <alignment horizontal="left" vertical="center" wrapText="1"/>
    </xf>
    <xf numFmtId="0" fontId="4" fillId="0" borderId="0" xfId="0" applyFont="1" applyAlignment="1">
      <alignment horizontal="right" vertical="center" wrapText="1"/>
    </xf>
    <xf numFmtId="164" fontId="4" fillId="0" borderId="0" xfId="1" applyNumberFormat="1" applyFont="1" applyAlignment="1">
      <alignment vertical="center" wrapText="1"/>
    </xf>
    <xf numFmtId="166" fontId="4" fillId="0" borderId="0" xfId="0" applyNumberFormat="1" applyFont="1" applyAlignment="1">
      <alignment horizontal="right" vertical="center" wrapText="1"/>
    </xf>
    <xf numFmtId="165" fontId="3" fillId="4" borderId="2" xfId="2" applyFill="1" applyBorder="1">
      <alignment horizontal="right" vertical="center"/>
    </xf>
    <xf numFmtId="0" fontId="4" fillId="0" borderId="0" xfId="0" applyFont="1" applyAlignment="1">
      <alignment horizontal="center" vertical="center" wrapText="1"/>
    </xf>
    <xf numFmtId="165" fontId="4" fillId="0" borderId="3" xfId="0" applyNumberFormat="1" applyFont="1" applyBorder="1" applyAlignment="1">
      <alignment horizontal="right" vertical="center" wrapText="1"/>
    </xf>
    <xf numFmtId="165" fontId="0" fillId="0" borderId="0" xfId="0" applyNumberFormat="1">
      <alignment horizontal="left" vertical="center" wrapText="1"/>
    </xf>
    <xf numFmtId="167" fontId="0" fillId="0" borderId="0" xfId="0" applyNumberFormat="1">
      <alignment horizontal="left" vertical="center" wrapText="1"/>
    </xf>
    <xf numFmtId="0" fontId="4" fillId="5" borderId="4" xfId="0" applyFont="1" applyFill="1" applyBorder="1">
      <alignment horizontal="left" vertical="center" wrapText="1"/>
    </xf>
    <xf numFmtId="0" fontId="4" fillId="5" borderId="5" xfId="0" applyFont="1" applyFill="1" applyBorder="1">
      <alignment horizontal="left" vertical="center" wrapText="1"/>
    </xf>
    <xf numFmtId="0" fontId="4" fillId="5" borderId="5" xfId="0" applyFont="1" applyFill="1" applyBorder="1" applyAlignment="1">
      <alignment horizontal="center" vertical="center" wrapText="1"/>
    </xf>
    <xf numFmtId="164" fontId="4" fillId="5" borderId="5" xfId="1" applyNumberFormat="1" applyFont="1" applyFill="1" applyBorder="1" applyAlignment="1">
      <alignment vertical="center" wrapText="1"/>
    </xf>
    <xf numFmtId="0" fontId="4" fillId="5" borderId="5" xfId="0" applyFont="1" applyFill="1" applyBorder="1" applyAlignment="1">
      <alignment horizontal="right" vertical="center" wrapText="1"/>
    </xf>
    <xf numFmtId="0" fontId="4" fillId="5" borderId="4" xfId="0" applyFont="1" applyFill="1" applyBorder="1" applyAlignment="1">
      <alignment horizontal="center" vertical="center" wrapText="1"/>
    </xf>
    <xf numFmtId="0" fontId="4" fillId="5" borderId="5" xfId="0" applyFont="1" applyFill="1" applyBorder="1" applyAlignment="1">
      <alignment vertical="top" wrapText="1"/>
    </xf>
    <xf numFmtId="14" fontId="0" fillId="0" borderId="6" xfId="0" applyNumberFormat="1" applyBorder="1">
      <alignment horizontal="left" vertical="center" wrapText="1"/>
    </xf>
    <xf numFmtId="0" fontId="0" fillId="0" borderId="7" xfId="0" applyBorder="1">
      <alignment horizontal="left" vertical="center" wrapText="1"/>
    </xf>
    <xf numFmtId="2" fontId="1" fillId="0" borderId="7" xfId="4" applyNumberFormat="1" applyBorder="1" applyAlignment="1">
      <alignment horizontal="center" vertical="center" wrapText="1"/>
    </xf>
    <xf numFmtId="1" fontId="0" fillId="0" borderId="7" xfId="0" applyNumberFormat="1" applyBorder="1" applyAlignment="1">
      <alignment horizontal="center" vertical="center" wrapText="1"/>
    </xf>
    <xf numFmtId="165" fontId="0" fillId="0" borderId="7" xfId="0" applyNumberFormat="1" applyBorder="1">
      <alignment horizontal="left" vertical="center" wrapText="1"/>
    </xf>
    <xf numFmtId="164" fontId="0" fillId="0" borderId="7" xfId="1" applyNumberFormat="1" applyFont="1" applyBorder="1" applyAlignment="1">
      <alignment vertical="center" wrapText="1"/>
    </xf>
    <xf numFmtId="165" fontId="0" fillId="0" borderId="7" xfId="0" applyNumberFormat="1" applyBorder="1" applyAlignment="1">
      <alignment horizontal="right" vertical="center" wrapText="1"/>
    </xf>
    <xf numFmtId="0" fontId="0" fillId="0" borderId="7"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2" fontId="0" fillId="0" borderId="7" xfId="0" applyNumberFormat="1" applyBorder="1" applyAlignment="1">
      <alignment horizontal="center" vertical="center" wrapText="1"/>
    </xf>
    <xf numFmtId="168" fontId="0" fillId="0" borderId="7" xfId="0" applyNumberFormat="1" applyBorder="1">
      <alignment horizontal="left" vertical="center" wrapText="1"/>
    </xf>
    <xf numFmtId="0" fontId="0" fillId="3" borderId="7" xfId="0" applyFill="1" applyBorder="1" applyAlignment="1">
      <alignment horizontal="center" vertical="center" wrapText="1"/>
    </xf>
    <xf numFmtId="165" fontId="3" fillId="0" borderId="7" xfId="2" applyFill="1" applyBorder="1">
      <alignment horizontal="right" vertical="center"/>
    </xf>
    <xf numFmtId="0" fontId="0" fillId="0" borderId="7" xfId="0" applyBorder="1" applyAlignment="1">
      <alignment horizontal="left" wrapText="1"/>
    </xf>
    <xf numFmtId="0" fontId="0" fillId="0" borderId="7" xfId="0" quotePrefix="1" applyBorder="1" applyAlignment="1">
      <alignment horizontal="center" vertical="center" wrapText="1"/>
    </xf>
    <xf numFmtId="0" fontId="0" fillId="0" borderId="8" xfId="0" applyBorder="1" applyAlignment="1">
      <alignment horizontal="center" vertical="center" wrapText="1"/>
    </xf>
    <xf numFmtId="14" fontId="0" fillId="3" borderId="7" xfId="0" applyNumberFormat="1" applyFill="1" applyBorder="1">
      <alignment horizontal="left" vertical="center" wrapText="1"/>
    </xf>
    <xf numFmtId="0" fontId="0" fillId="3" borderId="7" xfId="0" applyFill="1" applyBorder="1">
      <alignment horizontal="left" vertical="center" wrapText="1"/>
    </xf>
    <xf numFmtId="2" fontId="0" fillId="3" borderId="7" xfId="0" applyNumberFormat="1" applyFill="1" applyBorder="1" applyAlignment="1">
      <alignment horizontal="center" vertical="center" wrapText="1"/>
    </xf>
    <xf numFmtId="0" fontId="0" fillId="3" borderId="8" xfId="0" applyFill="1" applyBorder="1">
      <alignment horizontal="left" vertical="center" wrapText="1"/>
    </xf>
    <xf numFmtId="165" fontId="0" fillId="3" borderId="7" xfId="0" applyNumberFormat="1" applyFill="1" applyBorder="1">
      <alignment horizontal="left" vertical="center" wrapText="1"/>
    </xf>
    <xf numFmtId="164" fontId="0" fillId="3" borderId="7" xfId="1" applyNumberFormat="1" applyFont="1" applyFill="1" applyBorder="1" applyAlignment="1">
      <alignment vertical="center" wrapText="1"/>
    </xf>
    <xf numFmtId="165" fontId="0" fillId="3" borderId="7" xfId="0" applyNumberFormat="1" applyFill="1" applyBorder="1" applyAlignment="1">
      <alignment horizontal="right" vertical="center" wrapText="1"/>
    </xf>
    <xf numFmtId="14" fontId="0" fillId="3" borderId="6" xfId="0" applyNumberFormat="1" applyFill="1" applyBorder="1">
      <alignment horizontal="left" vertical="center" wrapText="1"/>
    </xf>
    <xf numFmtId="164" fontId="0" fillId="0" borderId="7" xfId="1" applyNumberFormat="1" applyFont="1" applyFill="1" applyBorder="1" applyAlignment="1">
      <alignment vertical="center" wrapText="1"/>
    </xf>
    <xf numFmtId="0" fontId="0" fillId="3" borderId="0" xfId="0" applyFill="1" applyAlignment="1">
      <alignment horizontal="center" vertical="center" wrapText="1"/>
    </xf>
    <xf numFmtId="14" fontId="0" fillId="0" borderId="7" xfId="0" applyNumberFormat="1" applyBorder="1">
      <alignment horizontal="left" vertical="center" wrapText="1"/>
    </xf>
    <xf numFmtId="2" fontId="1" fillId="0" borderId="7" xfId="4" applyNumberFormat="1" applyBorder="1" applyAlignment="1">
      <alignment vertical="center" wrapText="1"/>
    </xf>
    <xf numFmtId="16" fontId="0" fillId="0" borderId="7" xfId="0" applyNumberFormat="1" applyBorder="1">
      <alignment horizontal="left" vertical="center" wrapText="1"/>
    </xf>
    <xf numFmtId="165" fontId="0" fillId="6" borderId="7" xfId="0" applyNumberFormat="1" applyFill="1" applyBorder="1" applyAlignment="1">
      <alignment horizontal="right" vertical="center" wrapText="1"/>
    </xf>
    <xf numFmtId="14" fontId="0" fillId="0" borderId="9" xfId="0" applyNumberFormat="1" applyBorder="1">
      <alignment horizontal="left" vertical="center" wrapText="1"/>
    </xf>
    <xf numFmtId="0" fontId="0" fillId="0" borderId="8" xfId="0" applyBorder="1">
      <alignment horizontal="left" vertical="center" wrapText="1"/>
    </xf>
    <xf numFmtId="2" fontId="0" fillId="0" borderId="8" xfId="0" applyNumberFormat="1" applyBorder="1" applyAlignment="1">
      <alignment horizontal="center" vertical="center" wrapText="1"/>
    </xf>
    <xf numFmtId="165" fontId="0" fillId="0" borderId="8" xfId="0" applyNumberFormat="1" applyBorder="1">
      <alignment horizontal="left" vertical="center" wrapText="1"/>
    </xf>
    <xf numFmtId="0" fontId="5" fillId="0" borderId="7" xfId="0" applyFont="1" applyBorder="1">
      <alignment horizontal="left" vertical="center" wrapText="1"/>
    </xf>
    <xf numFmtId="2" fontId="5"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wrapText="1"/>
    </xf>
    <xf numFmtId="165" fontId="5" fillId="0" borderId="7" xfId="0" applyNumberFormat="1" applyFont="1" applyBorder="1">
      <alignment horizontal="left" vertical="center" wrapText="1"/>
    </xf>
    <xf numFmtId="164" fontId="5" fillId="0" borderId="7" xfId="1" applyNumberFormat="1" applyFont="1" applyFill="1" applyBorder="1" applyAlignment="1">
      <alignment vertical="center" wrapText="1"/>
    </xf>
    <xf numFmtId="165" fontId="5" fillId="0" borderId="7" xfId="0" applyNumberFormat="1" applyFont="1" applyBorder="1" applyAlignment="1">
      <alignment horizontal="right" vertical="center" wrapText="1"/>
    </xf>
    <xf numFmtId="0" fontId="5" fillId="0" borderId="7" xfId="0" applyFont="1" applyBorder="1" applyAlignment="1">
      <alignment horizontal="center" vertical="center" wrapText="1"/>
    </xf>
    <xf numFmtId="0" fontId="5" fillId="0" borderId="0" xfId="0" applyFont="1" applyAlignment="1">
      <alignment horizontal="center" vertical="center" wrapText="1"/>
    </xf>
    <xf numFmtId="0" fontId="5" fillId="0" borderId="5" xfId="0" applyFont="1" applyBorder="1" applyAlignment="1">
      <alignment horizontal="center" vertical="center" wrapText="1"/>
    </xf>
    <xf numFmtId="0" fontId="0" fillId="7" borderId="7" xfId="0" applyFill="1" applyBorder="1">
      <alignment horizontal="left" vertical="center" wrapText="1"/>
    </xf>
    <xf numFmtId="2" fontId="0" fillId="7" borderId="7" xfId="0" applyNumberFormat="1" applyFill="1" applyBorder="1" applyAlignment="1">
      <alignment horizontal="center" vertical="center" wrapText="1"/>
    </xf>
    <xf numFmtId="165" fontId="0" fillId="7" borderId="7" xfId="0" applyNumberFormat="1" applyFill="1" applyBorder="1">
      <alignment horizontal="left" vertical="center" wrapText="1"/>
    </xf>
    <xf numFmtId="164" fontId="0" fillId="7" borderId="7" xfId="1" applyNumberFormat="1" applyFont="1" applyFill="1" applyBorder="1" applyAlignment="1">
      <alignment vertical="center" wrapText="1"/>
    </xf>
    <xf numFmtId="0" fontId="0" fillId="7" borderId="7" xfId="0" applyFill="1" applyBorder="1" applyAlignment="1">
      <alignment horizontal="center" vertical="center" wrapText="1"/>
    </xf>
    <xf numFmtId="165" fontId="0" fillId="0" borderId="7" xfId="0" applyNumberFormat="1" applyBorder="1" applyAlignment="1">
      <alignment horizontal="center" vertical="center" wrapText="1"/>
    </xf>
    <xf numFmtId="14" fontId="0" fillId="8" borderId="6" xfId="0" applyNumberFormat="1" applyFill="1" applyBorder="1">
      <alignment horizontal="left" vertical="center" wrapText="1"/>
    </xf>
    <xf numFmtId="0" fontId="0" fillId="8" borderId="0" xfId="0" applyFill="1">
      <alignment horizontal="left" vertical="center" wrapText="1"/>
    </xf>
    <xf numFmtId="2" fontId="0" fillId="8" borderId="7" xfId="0" applyNumberFormat="1" applyFill="1" applyBorder="1" applyAlignment="1">
      <alignment horizontal="center" vertical="center" wrapText="1"/>
    </xf>
    <xf numFmtId="1" fontId="0" fillId="8" borderId="7" xfId="0" applyNumberFormat="1" applyFill="1" applyBorder="1" applyAlignment="1">
      <alignment horizontal="center" vertical="center" wrapText="1"/>
    </xf>
    <xf numFmtId="0" fontId="0" fillId="8" borderId="7" xfId="0" applyFill="1" applyBorder="1">
      <alignment horizontal="left" vertical="center" wrapText="1"/>
    </xf>
    <xf numFmtId="165" fontId="0" fillId="8" borderId="7" xfId="0" applyNumberFormat="1" applyFill="1" applyBorder="1">
      <alignment horizontal="left" vertical="center" wrapText="1"/>
    </xf>
    <xf numFmtId="164" fontId="0" fillId="8" borderId="7" xfId="1" applyNumberFormat="1" applyFont="1" applyFill="1" applyBorder="1" applyAlignment="1">
      <alignment vertical="center" wrapText="1"/>
    </xf>
    <xf numFmtId="165" fontId="5" fillId="8" borderId="7" xfId="0" applyNumberFormat="1" applyFont="1" applyFill="1" applyBorder="1" applyAlignment="1">
      <alignment horizontal="right" vertical="center" wrapText="1"/>
    </xf>
    <xf numFmtId="0" fontId="0" fillId="8" borderId="7" xfId="0" applyFill="1" applyBorder="1" applyAlignment="1">
      <alignment horizontal="center" vertical="center" wrapText="1"/>
    </xf>
    <xf numFmtId="0" fontId="0" fillId="8" borderId="0" xfId="0" applyFill="1" applyAlignment="1">
      <alignment horizontal="center" vertical="center" wrapText="1"/>
    </xf>
    <xf numFmtId="0" fontId="0" fillId="8" borderId="5" xfId="0" applyFill="1" applyBorder="1" applyAlignment="1">
      <alignment horizontal="center" vertical="center" wrapText="1"/>
    </xf>
    <xf numFmtId="165" fontId="0" fillId="8" borderId="7" xfId="0" applyNumberFormat="1" applyFill="1" applyBorder="1" applyAlignment="1">
      <alignment horizontal="right" vertical="center" wrapText="1"/>
    </xf>
    <xf numFmtId="0" fontId="0" fillId="8" borderId="8" xfId="0" applyFill="1" applyBorder="1" applyAlignment="1">
      <alignment horizontal="center" vertical="center" wrapText="1"/>
    </xf>
    <xf numFmtId="0" fontId="6" fillId="6" borderId="7" xfId="0" applyFont="1" applyFill="1" applyBorder="1" applyAlignment="1">
      <alignment horizontal="left" wrapText="1"/>
    </xf>
    <xf numFmtId="1" fontId="0" fillId="7" borderId="7" xfId="0" applyNumberFormat="1" applyFill="1" applyBorder="1" applyAlignment="1">
      <alignment horizontal="center" vertical="center" wrapText="1"/>
    </xf>
    <xf numFmtId="0" fontId="0" fillId="7" borderId="8" xfId="0" applyFill="1" applyBorder="1">
      <alignment horizontal="left" vertical="center" wrapText="1"/>
    </xf>
    <xf numFmtId="1" fontId="0" fillId="0" borderId="8" xfId="0" applyNumberFormat="1" applyBorder="1" applyAlignment="1">
      <alignment horizontal="center" vertical="center" wrapText="1"/>
    </xf>
    <xf numFmtId="165" fontId="0" fillId="7" borderId="8" xfId="0" applyNumberFormat="1" applyFill="1" applyBorder="1">
      <alignment horizontal="left" vertical="center" wrapText="1"/>
    </xf>
    <xf numFmtId="0" fontId="0" fillId="7" borderId="8" xfId="0" applyFill="1" applyBorder="1" applyAlignment="1">
      <alignment horizontal="center" vertical="center" wrapText="1"/>
    </xf>
    <xf numFmtId="0" fontId="5" fillId="0" borderId="6" xfId="0" applyFont="1" applyBorder="1" applyAlignment="1">
      <alignment horizontal="center" vertical="center" wrapText="1"/>
    </xf>
    <xf numFmtId="2" fontId="0" fillId="0" borderId="7" xfId="0" applyNumberFormat="1" applyBorder="1">
      <alignment horizontal="left" vertical="center" wrapText="1"/>
    </xf>
    <xf numFmtId="0" fontId="7" fillId="6" borderId="8"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0" fillId="9" borderId="7" xfId="0" applyFill="1" applyBorder="1" applyAlignment="1">
      <alignment horizontal="center" vertical="center" wrapText="1"/>
    </xf>
    <xf numFmtId="0" fontId="0" fillId="10" borderId="7" xfId="0" applyFill="1" applyBorder="1" applyAlignment="1">
      <alignment horizontal="center" vertical="center" wrapText="1"/>
    </xf>
    <xf numFmtId="0" fontId="7" fillId="6" borderId="8" xfId="0" applyFont="1" applyFill="1" applyBorder="1">
      <alignment horizontal="left" vertical="center" wrapText="1"/>
    </xf>
    <xf numFmtId="2" fontId="7" fillId="6" borderId="8" xfId="0" applyNumberFormat="1" applyFont="1" applyFill="1" applyBorder="1" applyAlignment="1">
      <alignment horizontal="center" vertical="center" wrapText="1"/>
    </xf>
    <xf numFmtId="1" fontId="7" fillId="6" borderId="7" xfId="0" applyNumberFormat="1" applyFont="1" applyFill="1" applyBorder="1" applyAlignment="1">
      <alignment horizontal="center" vertical="center" wrapText="1"/>
    </xf>
    <xf numFmtId="0" fontId="7" fillId="6" borderId="7" xfId="0" applyFont="1" applyFill="1" applyBorder="1">
      <alignment horizontal="left" vertical="center" wrapText="1"/>
    </xf>
    <xf numFmtId="165" fontId="7" fillId="6" borderId="8" xfId="0" applyNumberFormat="1" applyFont="1" applyFill="1" applyBorder="1">
      <alignment horizontal="left" vertical="center" wrapText="1"/>
    </xf>
    <xf numFmtId="164" fontId="7" fillId="6" borderId="7" xfId="1" applyNumberFormat="1" applyFont="1" applyFill="1" applyBorder="1" applyAlignment="1">
      <alignment vertical="center" wrapText="1"/>
    </xf>
    <xf numFmtId="165" fontId="7" fillId="6" borderId="7" xfId="0" applyNumberFormat="1" applyFont="1" applyFill="1" applyBorder="1">
      <alignment horizontal="left" vertical="center" wrapText="1"/>
    </xf>
    <xf numFmtId="165" fontId="7" fillId="6" borderId="7" xfId="0" applyNumberFormat="1" applyFont="1" applyFill="1" applyBorder="1" applyAlignment="1">
      <alignment horizontal="right" vertical="center" wrapText="1"/>
    </xf>
    <xf numFmtId="0" fontId="7" fillId="6" borderId="6" xfId="0" applyFont="1" applyFill="1" applyBorder="1" applyAlignment="1">
      <alignment horizontal="center" vertical="center" wrapText="1"/>
    </xf>
    <xf numFmtId="165" fontId="4" fillId="6" borderId="8" xfId="0" applyNumberFormat="1" applyFont="1" applyFill="1" applyBorder="1" applyAlignment="1">
      <alignment horizontal="right" vertical="center" wrapText="1"/>
    </xf>
    <xf numFmtId="165" fontId="0" fillId="0" borderId="8" xfId="0" applyNumberFormat="1" applyBorder="1" applyAlignment="1">
      <alignment horizontal="right" vertical="center" wrapText="1"/>
    </xf>
    <xf numFmtId="0" fontId="0" fillId="10" borderId="0" xfId="0" applyFill="1">
      <alignment horizontal="left" vertical="center" wrapText="1"/>
    </xf>
    <xf numFmtId="0" fontId="0" fillId="7" borderId="0" xfId="0" applyFill="1" applyAlignment="1">
      <alignment horizontal="center" vertical="center" wrapText="1"/>
    </xf>
    <xf numFmtId="0" fontId="0" fillId="10" borderId="7" xfId="0" applyFill="1" applyBorder="1">
      <alignment horizontal="left" vertical="center" wrapText="1"/>
    </xf>
    <xf numFmtId="2" fontId="0" fillId="10" borderId="7" xfId="0" applyNumberFormat="1" applyFill="1" applyBorder="1" applyAlignment="1">
      <alignment horizontal="center" vertical="center" wrapText="1"/>
    </xf>
    <xf numFmtId="1" fontId="0" fillId="10" borderId="7" xfId="0" applyNumberFormat="1" applyFill="1" applyBorder="1" applyAlignment="1">
      <alignment horizontal="center" vertical="center" wrapText="1"/>
    </xf>
    <xf numFmtId="165" fontId="0" fillId="10" borderId="7" xfId="0" applyNumberFormat="1" applyFill="1" applyBorder="1">
      <alignment horizontal="left" vertical="center" wrapText="1"/>
    </xf>
    <xf numFmtId="164" fontId="0" fillId="10" borderId="7" xfId="1" applyNumberFormat="1" applyFont="1" applyFill="1" applyBorder="1" applyAlignment="1">
      <alignment vertical="center" wrapText="1"/>
    </xf>
    <xf numFmtId="165" fontId="0" fillId="10" borderId="7" xfId="0" applyNumberFormat="1" applyFill="1" applyBorder="1" applyAlignment="1">
      <alignment horizontal="right" vertical="center" wrapText="1"/>
    </xf>
    <xf numFmtId="0" fontId="0" fillId="10" borderId="6" xfId="0" applyFill="1" applyBorder="1" applyAlignment="1">
      <alignment horizontal="center" vertical="center" wrapText="1"/>
    </xf>
    <xf numFmtId="0" fontId="0" fillId="10" borderId="10" xfId="0" applyFill="1" applyBorder="1" applyAlignment="1">
      <alignment horizontal="center" vertical="center" wrapText="1"/>
    </xf>
    <xf numFmtId="0" fontId="2" fillId="11" borderId="7" xfId="3" applyFont="1" applyFill="1" applyBorder="1" applyAlignment="1">
      <alignment horizontal="left" vertical="center" wrapText="1"/>
    </xf>
    <xf numFmtId="0" fontId="1" fillId="2" borderId="7" xfId="3" applyBorder="1" applyAlignment="1">
      <alignment horizontal="left" vertical="center" wrapText="1"/>
    </xf>
    <xf numFmtId="0" fontId="1" fillId="11" borderId="8" xfId="3" applyFill="1" applyBorder="1" applyAlignment="1">
      <alignment horizontal="left" vertical="center" wrapText="1"/>
    </xf>
    <xf numFmtId="2" fontId="0" fillId="8" borderId="7" xfId="0" applyNumberFormat="1" applyFill="1" applyBorder="1">
      <alignment horizontal="left" vertical="center" wrapText="1"/>
    </xf>
    <xf numFmtId="0" fontId="0" fillId="8" borderId="6" xfId="0" applyFill="1" applyBorder="1" applyAlignment="1">
      <alignment horizontal="center" vertical="center" wrapText="1"/>
    </xf>
    <xf numFmtId="165" fontId="0" fillId="0" borderId="7" xfId="1" applyNumberFormat="1" applyFont="1" applyBorder="1" applyAlignment="1">
      <alignment vertical="center" wrapText="1"/>
    </xf>
    <xf numFmtId="164" fontId="0" fillId="0" borderId="8" xfId="1" applyNumberFormat="1" applyFont="1" applyBorder="1" applyAlignment="1">
      <alignment vertical="center" wrapText="1"/>
    </xf>
    <xf numFmtId="2" fontId="0" fillId="0" borderId="8" xfId="0" applyNumberFormat="1" applyBorder="1">
      <alignment horizontal="left" vertical="center" wrapText="1"/>
    </xf>
    <xf numFmtId="2" fontId="0" fillId="3" borderId="8" xfId="0" applyNumberFormat="1" applyFill="1" applyBorder="1" applyAlignment="1">
      <alignment horizontal="center" vertical="center" wrapText="1"/>
    </xf>
    <xf numFmtId="0" fontId="0" fillId="6" borderId="0" xfId="0" applyFill="1">
      <alignment horizontal="left" vertical="center" wrapText="1"/>
    </xf>
    <xf numFmtId="2" fontId="0" fillId="6" borderId="8" xfId="0" applyNumberFormat="1" applyFill="1" applyBorder="1" applyAlignment="1">
      <alignment horizontal="center" vertical="center" wrapText="1"/>
    </xf>
    <xf numFmtId="1" fontId="0" fillId="6" borderId="8" xfId="0" applyNumberFormat="1" applyFill="1" applyBorder="1" applyAlignment="1">
      <alignment horizontal="center" vertical="center" wrapText="1"/>
    </xf>
    <xf numFmtId="0" fontId="0" fillId="6" borderId="8" xfId="0" applyFill="1" applyBorder="1">
      <alignment horizontal="left" vertical="center" wrapText="1"/>
    </xf>
    <xf numFmtId="165" fontId="0" fillId="6" borderId="7" xfId="0" applyNumberFormat="1" applyFill="1" applyBorder="1">
      <alignment horizontal="left" vertical="center" wrapText="1"/>
    </xf>
    <xf numFmtId="164" fontId="0" fillId="6" borderId="8" xfId="1" applyNumberFormat="1" applyFont="1" applyFill="1" applyBorder="1" applyAlignment="1">
      <alignment vertical="center" wrapText="1"/>
    </xf>
    <xf numFmtId="165" fontId="0" fillId="6" borderId="8" xfId="0" applyNumberFormat="1" applyFill="1" applyBorder="1" applyAlignment="1">
      <alignment horizontal="right" vertical="center" wrapText="1"/>
    </xf>
    <xf numFmtId="0" fontId="0" fillId="6" borderId="1" xfId="0" applyFill="1" applyBorder="1" applyAlignment="1">
      <alignment horizontal="center" vertical="center" wrapText="1"/>
    </xf>
    <xf numFmtId="0" fontId="0" fillId="6" borderId="6" xfId="0" applyFill="1" applyBorder="1" applyAlignment="1">
      <alignment horizontal="center" vertical="center" wrapText="1"/>
    </xf>
    <xf numFmtId="0" fontId="0" fillId="6" borderId="8" xfId="0" applyFill="1" applyBorder="1" applyAlignment="1">
      <alignment horizontal="center" vertical="center" wrapText="1"/>
    </xf>
    <xf numFmtId="0" fontId="0" fillId="6" borderId="7" xfId="0" applyFill="1" applyBorder="1" applyAlignment="1">
      <alignment horizontal="center" vertical="center" wrapText="1"/>
    </xf>
    <xf numFmtId="164" fontId="0" fillId="6" borderId="7" xfId="1" applyNumberFormat="1" applyFont="1" applyFill="1" applyBorder="1" applyAlignment="1">
      <alignment vertical="center" wrapText="1"/>
    </xf>
    <xf numFmtId="2" fontId="0" fillId="6" borderId="7" xfId="0" applyNumberFormat="1" applyFill="1" applyBorder="1" applyAlignment="1">
      <alignment horizontal="center" vertical="center" wrapText="1"/>
    </xf>
    <xf numFmtId="1" fontId="0" fillId="6" borderId="7" xfId="0" applyNumberFormat="1" applyFill="1" applyBorder="1" applyAlignment="1">
      <alignment horizontal="center" vertical="center" wrapText="1"/>
    </xf>
    <xf numFmtId="0" fontId="0" fillId="6" borderId="7" xfId="0" applyFill="1" applyBorder="1">
      <alignment horizontal="left" vertical="center" wrapText="1"/>
    </xf>
    <xf numFmtId="165" fontId="0" fillId="6" borderId="7" xfId="1" applyNumberFormat="1" applyFont="1" applyFill="1" applyBorder="1" applyAlignment="1">
      <alignment vertical="center" wrapText="1"/>
    </xf>
    <xf numFmtId="165" fontId="0" fillId="6" borderId="8" xfId="0" applyNumberFormat="1" applyFill="1" applyBorder="1">
      <alignment horizontal="left" vertical="center" wrapText="1"/>
    </xf>
    <xf numFmtId="7" fontId="0" fillId="6" borderId="7" xfId="0" applyNumberFormat="1" applyFill="1" applyBorder="1" applyAlignment="1">
      <alignment horizontal="center" vertical="center" wrapText="1"/>
    </xf>
    <xf numFmtId="7" fontId="0" fillId="6" borderId="1" xfId="0" applyNumberFormat="1" applyFill="1" applyBorder="1" applyAlignment="1">
      <alignment horizontal="center" vertical="center" wrapText="1"/>
    </xf>
    <xf numFmtId="165" fontId="0" fillId="0" borderId="7" xfId="1" applyNumberFormat="1" applyFont="1" applyFill="1" applyBorder="1" applyAlignment="1">
      <alignment vertical="center" wrapText="1"/>
    </xf>
    <xf numFmtId="164" fontId="0" fillId="0" borderId="8" xfId="1" applyNumberFormat="1" applyFont="1" applyFill="1" applyBorder="1" applyAlignment="1">
      <alignment vertical="center" wrapText="1"/>
    </xf>
    <xf numFmtId="0" fontId="7" fillId="6" borderId="0" xfId="0" applyFont="1" applyFill="1">
      <alignment horizontal="left" vertical="center" wrapText="1"/>
    </xf>
    <xf numFmtId="165" fontId="0" fillId="6" borderId="8" xfId="1" applyNumberFormat="1" applyFont="1" applyFill="1" applyBorder="1" applyAlignment="1">
      <alignment vertical="center" wrapText="1"/>
    </xf>
    <xf numFmtId="1" fontId="0" fillId="0" borderId="0" xfId="0" applyNumberFormat="1" applyAlignment="1">
      <alignment horizontal="center" vertical="center" wrapText="1"/>
    </xf>
    <xf numFmtId="165" fontId="0" fillId="0" borderId="8" xfId="1" applyNumberFormat="1" applyFont="1" applyBorder="1" applyAlignment="1">
      <alignment vertical="center" wrapText="1"/>
    </xf>
    <xf numFmtId="0" fontId="0" fillId="0" borderId="9" xfId="0" applyBorder="1" applyAlignment="1">
      <alignment horizontal="center" vertical="center" wrapText="1"/>
    </xf>
    <xf numFmtId="0" fontId="0" fillId="10" borderId="8" xfId="0" applyFill="1" applyBorder="1" applyAlignment="1">
      <alignment horizontal="center" vertical="center" wrapText="1"/>
    </xf>
    <xf numFmtId="7" fontId="0" fillId="0" borderId="7" xfId="0" applyNumberFormat="1" applyBorder="1" applyAlignment="1">
      <alignment horizontal="center" vertical="center" wrapText="1"/>
    </xf>
    <xf numFmtId="0" fontId="7" fillId="0" borderId="7" xfId="0" applyFont="1" applyBorder="1" applyAlignment="1">
      <alignment horizontal="center" vertical="center" wrapText="1"/>
    </xf>
    <xf numFmtId="16" fontId="0" fillId="0" borderId="0" xfId="0" applyNumberFormat="1">
      <alignment horizontal="left" vertical="center" wrapText="1"/>
    </xf>
    <xf numFmtId="165" fontId="0" fillId="8" borderId="7" xfId="1" applyNumberFormat="1" applyFont="1" applyFill="1" applyBorder="1" applyAlignment="1">
      <alignment vertical="center" wrapText="1"/>
    </xf>
    <xf numFmtId="164" fontId="0" fillId="8" borderId="8" xfId="1" applyNumberFormat="1" applyFont="1" applyFill="1" applyBorder="1" applyAlignment="1">
      <alignment vertical="center" wrapText="1"/>
    </xf>
    <xf numFmtId="165" fontId="0" fillId="8" borderId="8" xfId="0" applyNumberFormat="1" applyFill="1" applyBorder="1" applyAlignment="1">
      <alignment horizontal="right" vertical="center" wrapText="1"/>
    </xf>
    <xf numFmtId="0" fontId="5" fillId="0" borderId="0" xfId="0" applyFont="1">
      <alignment horizontal="left" vertical="center" wrapText="1"/>
    </xf>
    <xf numFmtId="0" fontId="5" fillId="0" borderId="8" xfId="0" applyFont="1" applyBorder="1">
      <alignment horizontal="left" vertical="center" wrapText="1"/>
    </xf>
    <xf numFmtId="7" fontId="0" fillId="0" borderId="8" xfId="0" applyNumberFormat="1" applyBorder="1" applyAlignment="1">
      <alignment horizontal="center" vertical="center" wrapText="1"/>
    </xf>
    <xf numFmtId="0" fontId="0" fillId="0" borderId="0" xfId="0" applyAlignment="1">
      <alignment wrapText="1"/>
    </xf>
    <xf numFmtId="0" fontId="1" fillId="11" borderId="7" xfId="3" applyFill="1" applyBorder="1" applyAlignment="1">
      <alignment horizontal="left" vertical="center" wrapText="1"/>
    </xf>
    <xf numFmtId="0" fontId="6" fillId="0" borderId="8" xfId="0" applyFont="1" applyBorder="1" applyAlignment="1">
      <alignment wrapText="1"/>
    </xf>
    <xf numFmtId="0" fontId="6" fillId="0" borderId="0" xfId="0" applyFont="1" applyAlignment="1">
      <alignment wrapText="1"/>
    </xf>
    <xf numFmtId="2" fontId="0" fillId="8" borderId="8" xfId="0" applyNumberFormat="1" applyFill="1" applyBorder="1" applyAlignment="1">
      <alignment horizontal="center" vertical="center" wrapText="1"/>
    </xf>
    <xf numFmtId="1" fontId="0" fillId="8" borderId="0" xfId="0" applyNumberFormat="1" applyFill="1" applyAlignment="1">
      <alignment horizontal="center" vertical="center" wrapText="1"/>
    </xf>
    <xf numFmtId="0" fontId="0" fillId="8" borderId="8" xfId="0" applyFill="1" applyBorder="1">
      <alignment horizontal="left" vertical="center" wrapText="1"/>
    </xf>
    <xf numFmtId="0" fontId="0" fillId="8" borderId="9" xfId="0" applyFill="1" applyBorder="1" applyAlignment="1">
      <alignment horizontal="center" vertical="center" wrapText="1"/>
    </xf>
    <xf numFmtId="43" fontId="0" fillId="0" borderId="7" xfId="1" applyFont="1" applyBorder="1" applyAlignment="1">
      <alignment horizontal="right" vertical="center" wrapText="1"/>
    </xf>
    <xf numFmtId="43" fontId="0" fillId="0" borderId="8" xfId="1" applyFont="1" applyBorder="1" applyAlignment="1">
      <alignment vertical="center" wrapText="1"/>
    </xf>
    <xf numFmtId="1" fontId="0" fillId="8" borderId="8" xfId="0" applyNumberFormat="1" applyFill="1" applyBorder="1" applyAlignment="1">
      <alignment horizontal="center" vertical="center" wrapText="1"/>
    </xf>
    <xf numFmtId="165" fontId="0" fillId="8" borderId="8" xfId="0" applyNumberFormat="1" applyFill="1" applyBorder="1">
      <alignment horizontal="left" vertical="center" wrapText="1"/>
    </xf>
    <xf numFmtId="2" fontId="0" fillId="7" borderId="8" xfId="0" applyNumberFormat="1" applyFill="1" applyBorder="1" applyAlignment="1">
      <alignment horizontal="center" vertical="center" wrapText="1"/>
    </xf>
    <xf numFmtId="165" fontId="0" fillId="0" borderId="11" xfId="0" applyNumberFormat="1" applyBorder="1" applyAlignment="1">
      <alignment horizontal="right" vertical="center" wrapText="1"/>
    </xf>
    <xf numFmtId="165" fontId="9" fillId="0" borderId="8" xfId="0" applyNumberFormat="1" applyFont="1" applyBorder="1" applyAlignment="1">
      <alignment horizontal="right" vertical="center" wrapText="1"/>
    </xf>
    <xf numFmtId="2" fontId="0" fillId="0" borderId="12" xfId="0" applyNumberFormat="1" applyBorder="1" applyAlignment="1">
      <alignment horizontal="center" vertical="center" wrapText="1"/>
    </xf>
    <xf numFmtId="2" fontId="0" fillId="0" borderId="12" xfId="0" applyNumberFormat="1" applyBorder="1">
      <alignment horizontal="left" vertical="center" wrapText="1"/>
    </xf>
    <xf numFmtId="43" fontId="0" fillId="0" borderId="7" xfId="1" applyFont="1" applyBorder="1" applyAlignment="1">
      <alignment vertical="center" wrapText="1"/>
    </xf>
    <xf numFmtId="14" fontId="0" fillId="6" borderId="6" xfId="0" applyNumberFormat="1" applyFill="1" applyBorder="1">
      <alignment horizontal="left" vertical="center" wrapText="1"/>
    </xf>
    <xf numFmtId="0" fontId="0" fillId="6" borderId="5" xfId="0" applyFill="1" applyBorder="1">
      <alignment horizontal="left" vertical="center" wrapText="1"/>
    </xf>
    <xf numFmtId="2" fontId="0" fillId="6" borderId="13" xfId="0" applyNumberFormat="1" applyFill="1" applyBorder="1" applyAlignment="1">
      <alignment horizontal="center" vertical="center" wrapText="1"/>
    </xf>
    <xf numFmtId="0" fontId="0" fillId="6" borderId="0" xfId="0" applyFill="1" applyAlignment="1">
      <alignment horizontal="center" vertical="center" wrapText="1"/>
    </xf>
    <xf numFmtId="165" fontId="0" fillId="6" borderId="5" xfId="0" applyNumberFormat="1" applyFill="1" applyBorder="1">
      <alignment horizontal="left" vertical="center" wrapText="1"/>
    </xf>
    <xf numFmtId="7" fontId="0" fillId="6" borderId="7" xfId="0" applyNumberFormat="1" applyFill="1" applyBorder="1">
      <alignment horizontal="left" vertical="center" wrapText="1"/>
    </xf>
    <xf numFmtId="0" fontId="0" fillId="6" borderId="9" xfId="0" applyFill="1" applyBorder="1" applyAlignment="1">
      <alignment horizontal="center" vertical="center" wrapText="1"/>
    </xf>
    <xf numFmtId="1" fontId="0" fillId="6" borderId="0" xfId="0" applyNumberFormat="1" applyFill="1" applyAlignment="1">
      <alignment horizontal="center" vertical="center" wrapText="1"/>
    </xf>
    <xf numFmtId="2" fontId="0" fillId="6" borderId="12" xfId="0" applyNumberFormat="1" applyFill="1" applyBorder="1" applyAlignment="1">
      <alignment horizontal="center" vertical="center" wrapText="1"/>
    </xf>
    <xf numFmtId="2" fontId="0" fillId="6" borderId="0" xfId="0" applyNumberFormat="1" applyFill="1" applyAlignment="1">
      <alignment horizontal="center" vertical="center" wrapText="1"/>
    </xf>
    <xf numFmtId="164" fontId="0" fillId="6" borderId="0" xfId="1" applyNumberFormat="1" applyFont="1" applyFill="1" applyBorder="1" applyAlignment="1">
      <alignment vertical="center" wrapText="1"/>
    </xf>
    <xf numFmtId="0" fontId="0" fillId="7" borderId="0" xfId="0" applyFill="1">
      <alignment horizontal="left" vertical="center" wrapText="1"/>
    </xf>
    <xf numFmtId="2" fontId="0" fillId="7" borderId="12" xfId="0" applyNumberFormat="1" applyFill="1" applyBorder="1" applyAlignment="1">
      <alignment horizontal="center" vertical="center" wrapText="1"/>
    </xf>
    <xf numFmtId="164" fontId="0" fillId="7" borderId="8" xfId="1" applyNumberFormat="1" applyFont="1" applyFill="1" applyBorder="1" applyAlignment="1">
      <alignment vertical="center" wrapText="1"/>
    </xf>
    <xf numFmtId="2" fontId="0" fillId="6" borderId="7" xfId="0" applyNumberFormat="1" applyFill="1" applyBorder="1">
      <alignment horizontal="left" vertical="center" wrapText="1"/>
    </xf>
    <xf numFmtId="14" fontId="0" fillId="6" borderId="9" xfId="0" applyNumberFormat="1" applyFill="1" applyBorder="1">
      <alignment horizontal="left" vertical="center" wrapText="1"/>
    </xf>
    <xf numFmtId="0" fontId="0" fillId="6" borderId="7" xfId="0" applyFill="1" applyBorder="1" applyAlignment="1">
      <alignment wrapText="1"/>
    </xf>
    <xf numFmtId="43" fontId="0" fillId="6" borderId="8" xfId="1" applyFont="1" applyFill="1" applyBorder="1" applyAlignment="1">
      <alignment vertical="center" wrapText="1"/>
    </xf>
    <xf numFmtId="43" fontId="0" fillId="0" borderId="8" xfId="1" applyFont="1" applyFill="1" applyBorder="1" applyAlignment="1">
      <alignment vertical="center" wrapText="1"/>
    </xf>
    <xf numFmtId="165" fontId="0" fillId="0" borderId="13" xfId="0" applyNumberFormat="1" applyBorder="1">
      <alignment horizontal="left" vertical="center" wrapText="1"/>
    </xf>
    <xf numFmtId="7" fontId="0" fillId="0" borderId="1" xfId="0" applyNumberFormat="1" applyBorder="1" applyAlignment="1">
      <alignment horizontal="center" vertical="center" wrapText="1"/>
    </xf>
    <xf numFmtId="14" fontId="0" fillId="8" borderId="9" xfId="0" applyNumberFormat="1" applyFill="1" applyBorder="1">
      <alignment horizontal="left" vertical="center" wrapText="1"/>
    </xf>
    <xf numFmtId="164" fontId="0" fillId="8" borderId="0" xfId="1" applyNumberFormat="1" applyFont="1" applyFill="1" applyBorder="1" applyAlignment="1">
      <alignment vertical="center" wrapText="1"/>
    </xf>
    <xf numFmtId="165" fontId="9" fillId="8" borderId="8" xfId="0" applyNumberFormat="1" applyFont="1" applyFill="1" applyBorder="1" applyAlignment="1">
      <alignment horizontal="right" vertical="center" wrapText="1"/>
    </xf>
    <xf numFmtId="0" fontId="0" fillId="8" borderId="1" xfId="0" applyFill="1" applyBorder="1" applyAlignment="1">
      <alignment horizontal="center" vertical="center" wrapText="1"/>
    </xf>
    <xf numFmtId="0" fontId="0" fillId="0" borderId="14" xfId="0" applyBorder="1">
      <alignment horizontal="left" vertical="center" wrapText="1"/>
    </xf>
    <xf numFmtId="164" fontId="0" fillId="0" borderId="0" xfId="1" applyNumberFormat="1" applyFont="1" applyFill="1" applyBorder="1" applyAlignment="1">
      <alignment vertical="center" wrapText="1"/>
    </xf>
    <xf numFmtId="2" fontId="0" fillId="0" borderId="0" xfId="0" applyNumberFormat="1">
      <alignment horizontal="left" vertical="center" wrapText="1"/>
    </xf>
    <xf numFmtId="43" fontId="0" fillId="0" borderId="0" xfId="1" applyFont="1" applyFill="1" applyBorder="1" applyAlignment="1">
      <alignment vertical="center" wrapText="1"/>
    </xf>
    <xf numFmtId="0" fontId="0" fillId="0" borderId="12" xfId="0" applyBorder="1">
      <alignment horizontal="left" vertical="center" wrapText="1"/>
    </xf>
    <xf numFmtId="164" fontId="0" fillId="0" borderId="0" xfId="1" applyNumberFormat="1" applyFont="1" applyFill="1" applyAlignment="1">
      <alignment vertical="center" wrapText="1"/>
    </xf>
    <xf numFmtId="164" fontId="0" fillId="0" borderId="0" xfId="1" applyNumberFormat="1" applyFont="1" applyBorder="1" applyAlignment="1">
      <alignment vertical="center" wrapText="1"/>
    </xf>
    <xf numFmtId="14" fontId="0" fillId="0" borderId="0" xfId="0" applyNumberFormat="1">
      <alignment horizontal="left" vertical="center" wrapText="1"/>
    </xf>
    <xf numFmtId="16" fontId="0" fillId="0" borderId="9" xfId="0" applyNumberFormat="1" applyBorder="1">
      <alignment horizontal="left" vertical="center" wrapText="1"/>
    </xf>
    <xf numFmtId="8" fontId="0" fillId="0" borderId="7" xfId="0" applyNumberFormat="1" applyBorder="1">
      <alignment horizontal="left" vertical="center" wrapText="1"/>
    </xf>
    <xf numFmtId="14" fontId="0" fillId="0" borderId="1" xfId="0" applyNumberFormat="1" applyBorder="1">
      <alignment horizontal="left" vertical="center" wrapText="1"/>
    </xf>
    <xf numFmtId="164" fontId="0" fillId="0" borderId="0" xfId="0" applyNumberFormat="1" applyAlignment="1">
      <alignment vertical="center" wrapText="1"/>
    </xf>
    <xf numFmtId="2" fontId="0" fillId="0" borderId="0" xfId="0" applyNumberFormat="1" applyAlignment="1">
      <alignment horizontal="center" vertical="center" wrapText="1"/>
    </xf>
    <xf numFmtId="0" fontId="0" fillId="0" borderId="15" xfId="0" applyBorder="1">
      <alignment horizontal="left" vertical="center" wrapText="1"/>
    </xf>
    <xf numFmtId="0" fontId="10" fillId="0" borderId="15" xfId="0" applyFont="1" applyBorder="1">
      <alignment horizontal="left" vertical="center" wrapText="1"/>
    </xf>
    <xf numFmtId="0" fontId="10" fillId="0" borderId="0" xfId="0" applyFont="1">
      <alignment horizontal="left" vertical="center" wrapText="1"/>
    </xf>
    <xf numFmtId="0" fontId="4" fillId="0" borderId="7" xfId="0" applyFont="1" applyBorder="1" applyAlignment="1">
      <alignment horizontal="center" vertical="center" wrapText="1"/>
    </xf>
    <xf numFmtId="14" fontId="0" fillId="6" borderId="1" xfId="0" applyNumberFormat="1" applyFill="1" applyBorder="1">
      <alignment horizontal="left" vertical="center" wrapText="1"/>
    </xf>
    <xf numFmtId="14" fontId="7" fillId="0" borderId="9" xfId="0" applyNumberFormat="1" applyFont="1" applyBorder="1">
      <alignment horizontal="left" vertical="center" wrapText="1"/>
    </xf>
    <xf numFmtId="0" fontId="7" fillId="0" borderId="0" xfId="0" applyFont="1">
      <alignment horizontal="left" vertical="center" wrapText="1"/>
    </xf>
    <xf numFmtId="2" fontId="7" fillId="0" borderId="8" xfId="0" applyNumberFormat="1" applyFont="1" applyBorder="1" applyAlignment="1">
      <alignment horizontal="center" vertical="center" wrapText="1"/>
    </xf>
    <xf numFmtId="1" fontId="7" fillId="0" borderId="8" xfId="0" applyNumberFormat="1" applyFont="1" applyBorder="1" applyAlignment="1">
      <alignment horizontal="center" vertical="center" wrapText="1"/>
    </xf>
    <xf numFmtId="165" fontId="7" fillId="0" borderId="8" xfId="0" applyNumberFormat="1" applyFont="1" applyBorder="1">
      <alignment horizontal="left" vertical="center" wrapText="1"/>
    </xf>
    <xf numFmtId="164" fontId="7" fillId="0" borderId="0" xfId="1" applyNumberFormat="1" applyFont="1" applyBorder="1" applyAlignment="1">
      <alignment vertical="center" wrapText="1"/>
    </xf>
    <xf numFmtId="165" fontId="7" fillId="0" borderId="7" xfId="0" applyNumberFormat="1" applyFont="1" applyBorder="1">
      <alignment horizontal="left" vertical="center" wrapText="1"/>
    </xf>
    <xf numFmtId="165" fontId="7" fillId="0" borderId="8" xfId="0" applyNumberFormat="1" applyFont="1" applyBorder="1" applyAlignment="1">
      <alignment horizontal="right" vertical="center" wrapText="1"/>
    </xf>
    <xf numFmtId="0" fontId="7" fillId="0" borderId="1" xfId="0" applyFont="1" applyBorder="1" applyAlignment="1">
      <alignment horizontal="center" vertical="center" wrapText="1"/>
    </xf>
    <xf numFmtId="0" fontId="7" fillId="0" borderId="0" xfId="0" applyFont="1" applyAlignment="1">
      <alignment horizontal="center" vertical="center" wrapText="1"/>
    </xf>
    <xf numFmtId="0" fontId="11" fillId="0" borderId="0" xfId="0" applyFont="1">
      <alignment horizontal="left" vertical="center" wrapText="1"/>
    </xf>
    <xf numFmtId="2" fontId="11" fillId="0" borderId="8" xfId="0" applyNumberFormat="1" applyFont="1" applyBorder="1" applyAlignment="1">
      <alignment horizontal="center" vertical="center" wrapText="1"/>
    </xf>
    <xf numFmtId="1" fontId="11" fillId="0" borderId="8" xfId="0" applyNumberFormat="1" applyFont="1" applyBorder="1" applyAlignment="1">
      <alignment horizontal="center" vertical="center" wrapText="1"/>
    </xf>
    <xf numFmtId="165" fontId="11" fillId="0" borderId="8" xfId="0" applyNumberFormat="1" applyFont="1" applyBorder="1">
      <alignment horizontal="left" vertical="center" wrapText="1"/>
    </xf>
    <xf numFmtId="164" fontId="11" fillId="0" borderId="0" xfId="1" applyNumberFormat="1" applyFont="1" applyBorder="1" applyAlignment="1">
      <alignment vertical="center" wrapText="1"/>
    </xf>
    <xf numFmtId="165" fontId="11" fillId="0" borderId="8" xfId="0" applyNumberFormat="1" applyFont="1" applyBorder="1" applyAlignment="1">
      <alignment horizontal="right" vertical="center" wrapText="1"/>
    </xf>
    <xf numFmtId="0" fontId="11" fillId="0" borderId="1" xfId="0" applyFont="1" applyBorder="1" applyAlignment="1">
      <alignment horizontal="center" vertical="center" wrapText="1"/>
    </xf>
    <xf numFmtId="0" fontId="11" fillId="0" borderId="0" xfId="0" applyFont="1" applyAlignment="1">
      <alignment horizontal="center" vertical="center" wrapText="1"/>
    </xf>
    <xf numFmtId="0" fontId="11" fillId="0" borderId="8" xfId="0" applyFont="1" applyBorder="1" applyAlignment="1">
      <alignment horizontal="center" vertical="center" wrapText="1"/>
    </xf>
  </cellXfs>
  <cellStyles count="5">
    <cellStyle name="20% - Accent3" xfId="3" builtinId="38"/>
    <cellStyle name="Comma" xfId="1" builtinId="3"/>
    <cellStyle name="Currency" xfId="2" builtinId="4"/>
    <cellStyle name="Normal" xfId="0" builtinId="0"/>
    <cellStyle name="Normal 3" xfId="4" xr:uid="{EBA8B05A-87FB-4B23-A96B-8A34707AC9A0}"/>
  </cellStyles>
  <dxfs count="49">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border outline="0">
        <right style="thin">
          <color indexed="64"/>
        </right>
      </border>
    </dxf>
    <dxf>
      <alignment horizontal="center" vertical="center" textRotation="0" wrapText="1" indent="0" justifyLastLine="0" shrinkToFit="0" readingOrder="0"/>
      <border diagonalUp="0" diagonalDown="0" outline="0">
        <left/>
        <right style="thin">
          <color indexed="64"/>
        </right>
        <top/>
        <bottom/>
      </border>
    </dxf>
    <dxf>
      <alignment horizontal="center" vertical="center" textRotation="0" wrapText="1" indent="0" justifyLastLine="0" shrinkToFit="0" readingOrder="0"/>
      <border diagonalUp="0" diagonalDown="0">
        <right style="thin">
          <color indexed="64"/>
        </right>
        <vertical/>
      </border>
    </dxf>
    <dxf>
      <alignment horizontal="center" vertical="center" textRotation="0" wrapText="1" indent="0" justifyLastLine="0" shrinkToFit="0" readingOrder="0"/>
    </dxf>
    <dxf>
      <numFmt numFmtId="165" formatCode="&quot;$&quot;#,##0.00"/>
      <alignment horizontal="right" vertical="center" textRotation="0" wrapText="1" indent="0" justifyLastLine="0" shrinkToFit="0" readingOrder="0"/>
      <border diagonalUp="0" diagonalDown="0">
        <left style="thin">
          <color indexed="64"/>
        </left>
        <right style="thin">
          <color indexed="64"/>
        </right>
        <top style="thin">
          <color indexed="64"/>
        </top>
        <bottom/>
        <vertical/>
        <horizontal/>
      </border>
    </dxf>
    <dxf>
      <numFmt numFmtId="165" formatCode="&quot;$&quot;#,##0.00"/>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dxf>
    <dxf>
      <numFmt numFmtId="165" formatCode="&quot;$&quot;#,##0.00"/>
      <border diagonalUp="0" diagonalDown="0">
        <left style="thin">
          <color indexed="64"/>
        </left>
        <right style="thin">
          <color indexed="64"/>
        </right>
        <top style="thin">
          <color indexed="64"/>
        </top>
        <bottom style="thin">
          <color indexed="64"/>
        </bottom>
        <vertical/>
        <horizontal/>
      </border>
    </dxf>
    <dxf>
      <numFmt numFmtId="165" formatCode="&quot;$&quot;#,##0.00"/>
      <border diagonalUp="0" diagonalDown="0" outline="0">
        <left style="thin">
          <color indexed="64"/>
        </left>
        <right style="thin">
          <color indexed="64"/>
        </right>
        <top style="thin">
          <color indexed="64"/>
        </top>
        <bottom style="thin">
          <color indexed="64"/>
        </bottom>
      </border>
    </dxf>
    <dxf>
      <numFmt numFmtId="165" formatCode="&quot;$&quot;#,##0.00"/>
      <border diagonalUp="0" diagonalDown="0">
        <left style="thin">
          <color indexed="64"/>
        </left>
        <right style="thin">
          <color indexed="64"/>
        </right>
        <top style="thin">
          <color indexed="64"/>
        </top>
        <bottom style="thin">
          <color indexed="64"/>
        </bottom>
        <vertical/>
        <horizontal/>
      </border>
    </dxf>
    <dxf>
      <numFmt numFmtId="165" formatCode="&quot;$&quot;#,##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4" tint="-0.499984740745262"/>
        <name val="Times New Roman"/>
        <family val="2"/>
        <scheme val="minor"/>
      </font>
      <numFmt numFmtId="164" formatCode="_(* #,##0_);_(* \(#,##0\);_(* &quot;-&quot;??_);_(@_)"/>
      <alignment horizontal="general" vertical="center" textRotation="0" wrapText="1" indent="0" justifyLastLine="0" shrinkToFit="0" readingOrder="0"/>
    </dxf>
    <dxf>
      <font>
        <b val="0"/>
        <i val="0"/>
        <strike val="0"/>
        <condense val="0"/>
        <extend val="0"/>
        <outline val="0"/>
        <shadow val="0"/>
        <u val="none"/>
        <vertAlign val="baseline"/>
        <sz val="12"/>
        <color theme="4" tint="-0.499984740745262"/>
        <name val="Times New Roman"/>
        <family val="2"/>
        <scheme val="minor"/>
      </font>
      <numFmt numFmtId="164" formatCode="_(* #,##0_);_(* \(#,##0\);_(* &quot;-&quot;??_);_(@_)"/>
      <alignment horizontal="general" vertical="center" textRotation="0" wrapText="1" indent="0" justifyLastLine="0" shrinkToFit="0" readingOrder="0"/>
    </dxf>
    <dxf>
      <numFmt numFmtId="165" formatCode="&quot;$&quot;#,##0.00"/>
      <border diagonalUp="0" diagonalDown="0">
        <left style="thin">
          <color indexed="64"/>
        </left>
        <right style="thin">
          <color indexed="64"/>
        </right>
        <top style="thin">
          <color indexed="64"/>
        </top>
        <bottom style="thin">
          <color indexed="64"/>
        </bottom>
        <vertical/>
        <horizontal/>
      </border>
    </dxf>
    <dxf>
      <numFmt numFmtId="165" formatCode="&quot;$&quot;#,##0.00"/>
      <border diagonalUp="0" diagonalDown="0" outline="0">
        <left style="thin">
          <color indexed="64"/>
        </left>
        <right style="thin">
          <color indexed="64"/>
        </right>
        <top style="thin">
          <color indexed="64"/>
        </top>
        <bottom style="thin">
          <color indexed="64"/>
        </bottom>
      </border>
    </dxf>
    <dxf>
      <numFmt numFmtId="1" formatCode="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border diagonalUp="0" diagonalDown="0">
        <left/>
        <right style="thin">
          <color indexed="64"/>
        </right>
        <top style="thin">
          <color indexed="64"/>
        </top>
        <bottom/>
        <vertical/>
        <horizontal/>
      </border>
    </dxf>
    <dxf>
      <numFmt numFmtId="19" formatCode="m/d/yyyy"/>
      <border diagonalUp="0" diagonalDown="0" outline="0">
        <left/>
        <right style="thin">
          <color indexed="64"/>
        </right>
        <top style="thin">
          <color indexed="64"/>
        </top>
        <bottom/>
      </border>
    </dxf>
    <dxf>
      <border outline="0">
        <bottom style="thin">
          <color indexed="64"/>
        </bottom>
      </border>
    </dxf>
    <dxf>
      <border outline="0">
        <left style="thin">
          <color indexed="64"/>
        </left>
        <top style="thin">
          <color indexed="64"/>
        </top>
      </border>
    </dxf>
    <dxf>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theme="4" tint="-0.499984740745262"/>
        <name val="Times New Roman"/>
        <family val="1"/>
        <scheme val="minor"/>
      </font>
      <fill>
        <patternFill patternType="solid">
          <fgColor indexed="64"/>
          <bgColor theme="5" tint="0.59999389629810485"/>
        </patternFill>
      </fill>
      <border diagonalUp="0" diagonalDown="0" outline="0">
        <left style="thin">
          <color indexed="64"/>
        </left>
        <right style="thin">
          <color indexed="64"/>
        </right>
        <top/>
        <bottom/>
      </border>
    </dxf>
    <dxf>
      <font>
        <color theme="4" tint="-0.499984740745262"/>
      </font>
      <border diagonalUp="0" diagonalDown="0">
        <left/>
        <right/>
        <top style="thin">
          <color theme="4"/>
        </top>
        <bottom style="thin">
          <color theme="4"/>
        </bottom>
        <vertical/>
        <horizontal style="thin">
          <color theme="4"/>
        </horizontal>
      </border>
    </dxf>
    <dxf>
      <font>
        <b val="0"/>
        <i val="0"/>
        <color theme="4"/>
      </font>
      <border diagonalUp="0" diagonalDown="0">
        <left/>
        <right/>
        <top style="thin">
          <color theme="4"/>
        </top>
        <bottom style="thin">
          <color theme="4"/>
        </bottom>
        <vertical/>
        <horizontal style="thin">
          <color theme="4"/>
        </horizontal>
      </border>
    </dxf>
    <dxf>
      <font>
        <color theme="4" tint="-0.499984740745262"/>
      </font>
      <border diagonalUp="0" diagonalDown="0">
        <left/>
        <right/>
        <top style="thin">
          <color theme="4"/>
        </top>
        <bottom style="thin">
          <color theme="4"/>
        </bottom>
        <vertical/>
        <horizontal style="thin">
          <color theme="4"/>
        </horizontal>
      </border>
    </dxf>
    <dxf>
      <font>
        <b val="0"/>
        <i val="0"/>
        <color theme="5" tint="-0.24994659260841701"/>
      </font>
      <border diagonalUp="0" diagonalDown="0">
        <left/>
        <right/>
        <top/>
        <bottom style="medium">
          <color theme="4"/>
        </bottom>
        <vertical/>
        <horizontal/>
      </border>
    </dxf>
    <dxf>
      <font>
        <b val="0"/>
        <i val="0"/>
        <color theme="4"/>
      </font>
      <fill>
        <patternFill patternType="none">
          <bgColor auto="1"/>
        </patternFill>
      </fill>
      <border diagonalUp="0" diagonalDown="0">
        <left/>
        <right/>
        <top style="thick">
          <color theme="4"/>
        </top>
        <bottom style="thin">
          <color theme="4"/>
        </bottom>
        <vertical/>
        <horizontal style="thin">
          <color theme="4"/>
        </horizontal>
      </border>
    </dxf>
  </dxfs>
  <tableStyles count="1" defaultTableStyle="TableStyleMedium2" defaultPivotStyle="PivotStyleLight16">
    <tableStyle name="Home construction budget" pivot="0" count="5" xr9:uid="{C81C38D1-2848-4B92-A621-5CD92C71E4FF}">
      <tableStyleElement type="wholeTable" dxfId="48"/>
      <tableStyleElement type="headerRow" dxfId="47"/>
      <tableStyleElement type="totalRow" dxfId="46"/>
      <tableStyleElement type="firstColumn" dxfId="45"/>
      <tableStyleElement type="lastColumn" dxfId="4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customXml" Target="../ink/ink1.xml"/><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50.png"/></Relationships>
</file>

<file path=xl/drawings/drawing1.xml><?xml version="1.0" encoding="utf-8"?>
<xdr:wsDr xmlns:xdr="http://schemas.openxmlformats.org/drawingml/2006/spreadsheetDrawing" xmlns:a="http://schemas.openxmlformats.org/drawingml/2006/main">
  <xdr:twoCellAnchor>
    <xdr:from>
      <xdr:col>3</xdr:col>
      <xdr:colOff>871121</xdr:colOff>
      <xdr:row>5</xdr:row>
      <xdr:rowOff>71718</xdr:rowOff>
    </xdr:from>
    <xdr:to>
      <xdr:col>4</xdr:col>
      <xdr:colOff>1320014</xdr:colOff>
      <xdr:row>6</xdr:row>
      <xdr:rowOff>152623</xdr:rowOff>
    </xdr:to>
    <xdr:sp macro="[1]!Postit" textlink="">
      <xdr:nvSpPr>
        <xdr:cNvPr id="2" name="Rectangle: Rounded Corners 1">
          <a:extLst>
            <a:ext uri="{FF2B5EF4-FFF2-40B4-BE49-F238E27FC236}">
              <a16:creationId xmlns:a16="http://schemas.microsoft.com/office/drawing/2014/main" id="{4F50654E-7BF2-4780-AB82-3BB71F3C42D2}"/>
            </a:ext>
          </a:extLst>
        </xdr:cNvPr>
        <xdr:cNvSpPr/>
      </xdr:nvSpPr>
      <xdr:spPr>
        <a:xfrm>
          <a:off x="8886408" y="1181380"/>
          <a:ext cx="1515693" cy="276168"/>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2000"/>
            <a:t>PostIT</a:t>
          </a:r>
        </a:p>
      </xdr:txBody>
    </xdr:sp>
    <xdr:clientData/>
  </xdr:twoCellAnchor>
  <xdr:twoCellAnchor editAs="oneCell">
    <xdr:from>
      <xdr:col>1</xdr:col>
      <xdr:colOff>113466</xdr:colOff>
      <xdr:row>4</xdr:row>
      <xdr:rowOff>120351</xdr:rowOff>
    </xdr:from>
    <xdr:to>
      <xdr:col>1</xdr:col>
      <xdr:colOff>913037</xdr:colOff>
      <xdr:row>7</xdr:row>
      <xdr:rowOff>36992</xdr:rowOff>
    </xdr:to>
    <xdr:pic macro="[1]!GoToNextRow">
      <xdr:nvPicPr>
        <xdr:cNvPr id="3" name="Graphic 2" descr="A bicycle">
          <a:extLst>
            <a:ext uri="{FF2B5EF4-FFF2-40B4-BE49-F238E27FC236}">
              <a16:creationId xmlns:a16="http://schemas.microsoft.com/office/drawing/2014/main" id="{0A7DB331-1DAC-4423-B5A3-12F938E6B1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65941" y="1029988"/>
          <a:ext cx="799571" cy="511954"/>
        </a:xfrm>
        <a:prstGeom prst="rect">
          <a:avLst/>
        </a:prstGeom>
      </xdr:spPr>
    </xdr:pic>
    <xdr:clientData/>
  </xdr:twoCellAnchor>
  <xdr:twoCellAnchor editAs="oneCell">
    <xdr:from>
      <xdr:col>2</xdr:col>
      <xdr:colOff>559860</xdr:colOff>
      <xdr:row>4</xdr:row>
      <xdr:rowOff>44936</xdr:rowOff>
    </xdr:from>
    <xdr:to>
      <xdr:col>2</xdr:col>
      <xdr:colOff>582126</xdr:colOff>
      <xdr:row>4</xdr:row>
      <xdr:rowOff>76430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4" name="Ink 3">
              <a:extLst>
                <a:ext uri="{FF2B5EF4-FFF2-40B4-BE49-F238E27FC236}">
                  <a16:creationId xmlns:a16="http://schemas.microsoft.com/office/drawing/2014/main" id="{92F00CCE-B40F-4247-8FE4-A5DC9525EDEE}"/>
                </a:ext>
              </a:extLst>
            </xdr14:cNvPr>
            <xdr14:cNvContentPartPr/>
          </xdr14:nvContentPartPr>
          <xdr14:nvPr macro=""/>
          <xdr14:xfrm>
            <a:off x="3798360" y="851760"/>
            <a:ext cx="360" cy="360"/>
          </xdr14:xfrm>
        </xdr:contentPart>
      </mc:Choice>
      <mc:Fallback xmlns="">
        <xdr:pic>
          <xdr:nvPicPr>
            <xdr:cNvPr id="4" name="Ink 3">
              <a:extLst>
                <a:ext uri="{FF2B5EF4-FFF2-40B4-BE49-F238E27FC236}">
                  <a16:creationId xmlns:a16="http://schemas.microsoft.com/office/drawing/2014/main" id="{DBD1EDE8-DCA6-46BC-B953-540B23358F1F}"/>
                </a:ext>
              </a:extLst>
            </xdr:cNvPr>
            <xdr:cNvPicPr/>
          </xdr:nvPicPr>
          <xdr:blipFill>
            <a:blip xmlns:r="http://schemas.openxmlformats.org/officeDocument/2006/relationships" r:embed="rId4"/>
            <a:stretch>
              <a:fillRect/>
            </a:stretch>
          </xdr:blipFill>
          <xdr:spPr>
            <a:xfrm>
              <a:off x="3789720" y="842760"/>
              <a:ext cx="18000" cy="1800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Z:\BIM%202020\DB%20Build%20for%20Home%20construction%20budget1%20V2%201.xlsb" TargetMode="External"/><Relationship Id="rId1" Type="http://schemas.openxmlformats.org/officeDocument/2006/relationships/externalLinkPath" Target="file:///Z:\BIM%202020\DB%20Build%20for%20Home%20construction%20budget1%20V2%201.xlsb"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Documents/BIM%202020/Construction/RogInvoice.xlsb" TargetMode="External"/><Relationship Id="rId1" Type="http://schemas.openxmlformats.org/officeDocument/2006/relationships/externalLinkPath" Target="/123d7b1f319f751e/Documents/BIM%202020/Construction/RogInvoice.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voices"/>
      <sheetName val="ChartData"/>
      <sheetName val="Invoice"/>
      <sheetName val="SQFT"/>
      <sheetName val="ToDo"/>
      <sheetName val="ITEMIZED EXPENSES"/>
      <sheetName val="SUMMARY"/>
      <sheetName val="% Breakdown"/>
      <sheetName val="BimFunds"/>
      <sheetName val="Const Actual"/>
      <sheetName val="HomeDB"/>
      <sheetName val="26-Painting"/>
      <sheetName val="2-Architectual"/>
      <sheetName val="4-HVAC"/>
      <sheetName val="5-Earthworks"/>
      <sheetName val="7-Carpentry"/>
      <sheetName val="3-Masonary"/>
      <sheetName val="13-Electrical"/>
      <sheetName val="10-Plumbing"/>
      <sheetName val="25-Tiling"/>
      <sheetName val="8-Administrative"/>
      <sheetName val="9-ExteriorWorks"/>
      <sheetName val="List"/>
      <sheetName val="Sheet4"/>
      <sheetName val="Sheet6"/>
      <sheetName val="Sheet7"/>
      <sheetName val="Sheet5"/>
      <sheetName val="Reporting"/>
      <sheetName val="Report"/>
      <sheetName val="Tiles&amp;Paint Est"/>
      <sheetName val="1-TransFers"/>
      <sheetName val="Storage 434"/>
      <sheetName val="434 CO"/>
      <sheetName val="Sheet1"/>
      <sheetName val="Bids &amp; Contracts"/>
      <sheetName val="Suppliers"/>
      <sheetName val="Estimates"/>
      <sheetName val="Fabric explained"/>
      <sheetName val="Windows"/>
      <sheetName val="Doors"/>
      <sheetName val="Windows Prices"/>
      <sheetName val="Key"/>
      <sheetName val="Detail Tasklist"/>
      <sheetName val="Suggestion1"/>
      <sheetName val="WDO Treatments"/>
      <sheetName val="Sheet2"/>
      <sheetName val="SprayPaintEstimate"/>
      <sheetName val="Sheet3"/>
      <sheetName val="Tiles&amp;Paint"/>
      <sheetName val="Trowel Plastic (Inside)"/>
      <sheetName val="2021 Taxes"/>
    </sheetNames>
    <definedNames>
      <definedName name="GoToNextRow"/>
      <definedName name="Postit"/>
    </definedNames>
    <sheetDataSet>
      <sheetData sheetId="0"/>
      <sheetData sheetId="1"/>
      <sheetData sheetId="2"/>
      <sheetData sheetId="3"/>
      <sheetData sheetId="4"/>
      <sheetData sheetId="5"/>
      <sheetData sheetId="6">
        <row r="16">
          <cell r="C16">
            <v>969240</v>
          </cell>
        </row>
        <row r="18">
          <cell r="B18" t="str">
            <v>Construction Funds Used To Date</v>
          </cell>
          <cell r="C18">
            <v>1008027.8699999998</v>
          </cell>
        </row>
        <row r="19">
          <cell r="B19" t="str">
            <v>Funds Remaining</v>
          </cell>
          <cell r="C19">
            <v>-60862.869999999763</v>
          </cell>
        </row>
      </sheetData>
      <sheetData sheetId="7"/>
      <sheetData sheetId="8">
        <row r="52">
          <cell r="I52">
            <v>68787.809999999983</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st Actual"/>
      <sheetName val="Customers"/>
      <sheetName val="Items"/>
      <sheetName val=" Invoice Items"/>
      <sheetName val="Invoice List"/>
      <sheetName val="Invoice"/>
    </sheetNames>
    <sheetDataSet>
      <sheetData sheetId="0"/>
      <sheetData sheetId="1">
        <row r="8">
          <cell r="E8" t="str">
            <v>Supplier</v>
          </cell>
        </row>
        <row r="9">
          <cell r="E9" t="str">
            <v>Adrian Knight</v>
          </cell>
        </row>
        <row r="10">
          <cell r="E10" t="str">
            <v>Adrian Knight</v>
          </cell>
        </row>
        <row r="11">
          <cell r="E11" t="str">
            <v>Adrian Knight</v>
          </cell>
        </row>
        <row r="12">
          <cell r="E12" t="str">
            <v>Ron Layne</v>
          </cell>
        </row>
        <row r="13">
          <cell r="E13" t="str">
            <v>Adrian Knight</v>
          </cell>
        </row>
        <row r="14">
          <cell r="E14" t="str">
            <v>Adrian Knight</v>
          </cell>
        </row>
        <row r="15">
          <cell r="E15" t="str">
            <v>Adrian Knight</v>
          </cell>
        </row>
        <row r="16">
          <cell r="E16" t="str">
            <v>BWA</v>
          </cell>
        </row>
        <row r="17">
          <cell r="E17" t="str">
            <v>Dianne</v>
          </cell>
        </row>
        <row r="18">
          <cell r="E18" t="str">
            <v>Michael Hutchinson</v>
          </cell>
        </row>
        <row r="19">
          <cell r="E19" t="str">
            <v>Dianne</v>
          </cell>
        </row>
        <row r="20">
          <cell r="E20" t="str">
            <v>Brydens</v>
          </cell>
        </row>
        <row r="21">
          <cell r="E21" t="str">
            <v>Adrian Knight</v>
          </cell>
        </row>
        <row r="22">
          <cell r="E22" t="str">
            <v>Shawn Grandison</v>
          </cell>
        </row>
        <row r="23">
          <cell r="E23" t="str">
            <v>Ian Wiltshire</v>
          </cell>
        </row>
        <row r="24">
          <cell r="E24" t="str">
            <v>Modern Builders (Marlon)</v>
          </cell>
        </row>
        <row r="25">
          <cell r="E25" t="str">
            <v>Carter &amp; Company</v>
          </cell>
        </row>
        <row r="26">
          <cell r="E26" t="str">
            <v>Carter &amp; Company</v>
          </cell>
        </row>
        <row r="27">
          <cell r="E27" t="str">
            <v>Glassesco</v>
          </cell>
        </row>
        <row r="28">
          <cell r="E28" t="str">
            <v>BRC West Indies</v>
          </cell>
        </row>
        <row r="29">
          <cell r="E29" t="str">
            <v>Ian Wiltshire</v>
          </cell>
        </row>
        <row r="30">
          <cell r="E30" t="str">
            <v>Michael Hutchinson</v>
          </cell>
        </row>
        <row r="31">
          <cell r="E31" t="str">
            <v>Zoom</v>
          </cell>
        </row>
        <row r="32">
          <cell r="E32" t="str">
            <v>Shawn Grandison</v>
          </cell>
        </row>
        <row r="33">
          <cell r="E33" t="str">
            <v>Shawn Grandison</v>
          </cell>
        </row>
        <row r="34">
          <cell r="E34" t="str">
            <v>Ian Wiltshire</v>
          </cell>
        </row>
        <row r="35">
          <cell r="E35" t="str">
            <v>Shawn Grandison</v>
          </cell>
        </row>
        <row r="36">
          <cell r="E36" t="str">
            <v>Shawn Grandison</v>
          </cell>
        </row>
        <row r="37">
          <cell r="E37" t="str">
            <v>Ian Wiltshire</v>
          </cell>
        </row>
        <row r="38">
          <cell r="E38" t="str">
            <v>Shawn Grandison</v>
          </cell>
        </row>
        <row r="39">
          <cell r="E39" t="str">
            <v>BL&amp;P</v>
          </cell>
        </row>
        <row r="40">
          <cell r="E40" t="str">
            <v>Ian Wiltshire</v>
          </cell>
        </row>
        <row r="41">
          <cell r="E41" t="str">
            <v>Ready Block</v>
          </cell>
        </row>
        <row r="42">
          <cell r="E42" t="str">
            <v>Carter &amp; Company</v>
          </cell>
        </row>
        <row r="43">
          <cell r="E43" t="str">
            <v>David Smith</v>
          </cell>
        </row>
        <row r="44">
          <cell r="E44" t="str">
            <v>Williams Equiptment</v>
          </cell>
        </row>
        <row r="45">
          <cell r="E45" t="str">
            <v>Sievewright Rogers</v>
          </cell>
        </row>
        <row r="46">
          <cell r="E46" t="str">
            <v>Ready Mix</v>
          </cell>
        </row>
        <row r="47">
          <cell r="E47" t="str">
            <v>Infra Rentals</v>
          </cell>
        </row>
        <row r="48">
          <cell r="E48" t="str">
            <v>Infra Rentals</v>
          </cell>
        </row>
        <row r="49">
          <cell r="E49" t="str">
            <v>Modern Builders (Marlon)</v>
          </cell>
        </row>
        <row r="50">
          <cell r="E50" t="str">
            <v>Modern Builders (Marlon)</v>
          </cell>
        </row>
        <row r="51">
          <cell r="E51" t="str">
            <v>Modern Builders (Marlon)</v>
          </cell>
        </row>
        <row r="52">
          <cell r="E52" t="str">
            <v>Ready Block</v>
          </cell>
        </row>
        <row r="53">
          <cell r="E53" t="str">
            <v>Carter &amp; Company</v>
          </cell>
        </row>
        <row r="54">
          <cell r="E54" t="str">
            <v>Greens's Exterminating &amp; Fencing</v>
          </cell>
        </row>
        <row r="55">
          <cell r="E55" t="str">
            <v>Ian Wiltshire</v>
          </cell>
        </row>
        <row r="56">
          <cell r="E56" t="str">
            <v>Sievewright Rogers</v>
          </cell>
        </row>
        <row r="57">
          <cell r="E57" t="str">
            <v>Ready Block</v>
          </cell>
        </row>
        <row r="58">
          <cell r="E58" t="str">
            <v>Ian Wiltshire</v>
          </cell>
        </row>
        <row r="59">
          <cell r="E59" t="str">
            <v>Ian Wiltshire</v>
          </cell>
        </row>
        <row r="60">
          <cell r="E60" t="str">
            <v>Ian Wiltshire</v>
          </cell>
        </row>
        <row r="61">
          <cell r="E61" t="str">
            <v>Ian Wiltshire</v>
          </cell>
        </row>
        <row r="62">
          <cell r="E62" t="str">
            <v>Carter &amp; Company</v>
          </cell>
        </row>
        <row r="63">
          <cell r="E63" t="str">
            <v>Ian Wiltshire</v>
          </cell>
        </row>
        <row r="64">
          <cell r="E64" t="str">
            <v>Carter &amp; Company</v>
          </cell>
        </row>
        <row r="65">
          <cell r="E65" t="str">
            <v>Ready Block</v>
          </cell>
        </row>
        <row r="66">
          <cell r="E66" t="str">
            <v>Ready Block</v>
          </cell>
        </row>
        <row r="67">
          <cell r="E67" t="str">
            <v>Shawn Grandison</v>
          </cell>
        </row>
        <row r="68">
          <cell r="E68" t="str">
            <v>Carter &amp; Company</v>
          </cell>
        </row>
        <row r="69">
          <cell r="E69" t="str">
            <v>Carter &amp; Company</v>
          </cell>
        </row>
        <row r="70">
          <cell r="E70" t="str">
            <v>Carter &amp; Company</v>
          </cell>
        </row>
        <row r="71">
          <cell r="E71" t="str">
            <v>Carter &amp; Company</v>
          </cell>
        </row>
        <row r="72">
          <cell r="E72" t="str">
            <v>Ready Block</v>
          </cell>
        </row>
        <row r="73">
          <cell r="E73" t="str">
            <v>BRC West Indies</v>
          </cell>
        </row>
        <row r="74">
          <cell r="E74" t="str">
            <v>Shawn Grandison</v>
          </cell>
        </row>
        <row r="75">
          <cell r="E75" t="str">
            <v>Carter &amp; Company</v>
          </cell>
        </row>
        <row r="76">
          <cell r="E76" t="str">
            <v>Modern Builders (Marlon)</v>
          </cell>
        </row>
        <row r="77">
          <cell r="E77" t="str">
            <v>Ready Block</v>
          </cell>
        </row>
        <row r="78">
          <cell r="E78" t="str">
            <v>Shawn Grandison</v>
          </cell>
        </row>
        <row r="79">
          <cell r="E79" t="str">
            <v>BWA</v>
          </cell>
        </row>
        <row r="80">
          <cell r="E80" t="str">
            <v>Shawn Grandison</v>
          </cell>
        </row>
        <row r="81">
          <cell r="E81" t="str">
            <v>Ready Mix</v>
          </cell>
        </row>
        <row r="82">
          <cell r="E82" t="str">
            <v>BWA</v>
          </cell>
        </row>
        <row r="83">
          <cell r="E83" t="str">
            <v>Shawn Grandison</v>
          </cell>
        </row>
        <row r="84">
          <cell r="E84" t="str">
            <v>Anthony Seale</v>
          </cell>
        </row>
        <row r="85">
          <cell r="E85" t="str">
            <v>Greens's Exterminating &amp; Fencing</v>
          </cell>
        </row>
        <row r="86">
          <cell r="E86" t="str">
            <v>Williams Equiptment</v>
          </cell>
        </row>
        <row r="87">
          <cell r="E87" t="str">
            <v>Ready Block</v>
          </cell>
        </row>
        <row r="88">
          <cell r="E88" t="str">
            <v>Rayside Construction Ltd</v>
          </cell>
        </row>
        <row r="89">
          <cell r="E89" t="str">
            <v>Sievewright Rogers</v>
          </cell>
        </row>
        <row r="90">
          <cell r="E90" t="str">
            <v>Ready Mix</v>
          </cell>
        </row>
        <row r="91">
          <cell r="E91" t="str">
            <v>Ready Mix</v>
          </cell>
        </row>
        <row r="92">
          <cell r="E92" t="str">
            <v>Ready Mix</v>
          </cell>
        </row>
        <row r="93">
          <cell r="E93" t="str">
            <v>Ready Mix</v>
          </cell>
        </row>
        <row r="94">
          <cell r="E94" t="str">
            <v>Shawn Grandison</v>
          </cell>
        </row>
        <row r="95">
          <cell r="E95" t="str">
            <v>Ian Wiltshire</v>
          </cell>
        </row>
        <row r="96">
          <cell r="E96" t="str">
            <v>Rayside Construction Ltd</v>
          </cell>
        </row>
        <row r="97">
          <cell r="E97" t="str">
            <v>Anthony Seale</v>
          </cell>
        </row>
        <row r="98">
          <cell r="E98" t="str">
            <v>Carter &amp; Company</v>
          </cell>
        </row>
        <row r="99">
          <cell r="E99" t="str">
            <v>Ready Block</v>
          </cell>
        </row>
        <row r="100">
          <cell r="E100" t="str">
            <v>Modern Builders (Marlon)</v>
          </cell>
        </row>
        <row r="101">
          <cell r="E101" t="str">
            <v>Modern Builders (Marlon)</v>
          </cell>
        </row>
        <row r="102">
          <cell r="E102" t="str">
            <v>Carter &amp; Company</v>
          </cell>
        </row>
        <row r="103">
          <cell r="E103" t="str">
            <v>Infra Rentals</v>
          </cell>
        </row>
        <row r="104">
          <cell r="E104" t="str">
            <v>Ready Block</v>
          </cell>
        </row>
        <row r="105">
          <cell r="E105" t="str">
            <v>Modern Builders (Marlon)</v>
          </cell>
        </row>
        <row r="106">
          <cell r="E106" t="str">
            <v>Ready Mix</v>
          </cell>
        </row>
        <row r="107">
          <cell r="E107" t="str">
            <v>Glassesco</v>
          </cell>
        </row>
        <row r="108">
          <cell r="E108" t="str">
            <v>Carter &amp; Company</v>
          </cell>
        </row>
        <row r="109">
          <cell r="E109" t="str">
            <v>Ready Block</v>
          </cell>
        </row>
        <row r="110">
          <cell r="E110" t="str">
            <v>Tucker Johnston</v>
          </cell>
        </row>
        <row r="111">
          <cell r="E111" t="str">
            <v>Carter &amp; Company</v>
          </cell>
        </row>
        <row r="112">
          <cell r="E112" t="str">
            <v>Carter &amp; Company</v>
          </cell>
        </row>
        <row r="113">
          <cell r="E113" t="str">
            <v>BRC West Indies</v>
          </cell>
        </row>
        <row r="114">
          <cell r="E114" t="str">
            <v>Carter &amp; Company</v>
          </cell>
        </row>
        <row r="115">
          <cell r="E115" t="str">
            <v>Carter &amp; Company</v>
          </cell>
        </row>
        <row r="116">
          <cell r="E116" t="str">
            <v>Carter &amp; Company</v>
          </cell>
        </row>
        <row r="117">
          <cell r="E117" t="str">
            <v>Williams Equiptment</v>
          </cell>
        </row>
        <row r="118">
          <cell r="E118" t="str">
            <v>Carter &amp; Company</v>
          </cell>
        </row>
        <row r="119">
          <cell r="E119" t="str">
            <v>Ready Block</v>
          </cell>
        </row>
        <row r="120">
          <cell r="E120" t="str">
            <v>Barbados Lumber Company -Delivery</v>
          </cell>
        </row>
        <row r="121">
          <cell r="E121" t="str">
            <v>BL&amp;P</v>
          </cell>
        </row>
        <row r="122">
          <cell r="E122" t="str">
            <v>Charles Rowe Bridge Discount Hardware</v>
          </cell>
        </row>
        <row r="123">
          <cell r="E123" t="str">
            <v>Carter &amp; Company</v>
          </cell>
        </row>
        <row r="124">
          <cell r="E124" t="str">
            <v>Ian Wiltshire</v>
          </cell>
        </row>
        <row r="125">
          <cell r="E125" t="str">
            <v>BRC West Indies</v>
          </cell>
        </row>
        <row r="126">
          <cell r="E126" t="str">
            <v>Town &amp; Country Planning</v>
          </cell>
        </row>
        <row r="127">
          <cell r="E127" t="str">
            <v>Carter &amp; Company</v>
          </cell>
        </row>
        <row r="128">
          <cell r="E128" t="str">
            <v>Modern Builders (Marlon)</v>
          </cell>
        </row>
        <row r="129">
          <cell r="E129" t="str">
            <v>Modern Builders (Marlon)</v>
          </cell>
        </row>
        <row r="130">
          <cell r="E130" t="str">
            <v>Modern Builders (Marlon)</v>
          </cell>
        </row>
        <row r="131">
          <cell r="E131" t="str">
            <v>Shawn Grandison</v>
          </cell>
        </row>
        <row r="132">
          <cell r="E132" t="str">
            <v>Shawn Grandison</v>
          </cell>
        </row>
        <row r="133">
          <cell r="E133" t="str">
            <v>Shawn Grandison</v>
          </cell>
        </row>
        <row r="134">
          <cell r="E134" t="str">
            <v>Marshall's Trading</v>
          </cell>
        </row>
        <row r="135">
          <cell r="E135" t="str">
            <v>Shawn Grandison</v>
          </cell>
        </row>
        <row r="136">
          <cell r="E136" t="str">
            <v>Shawn Grandison</v>
          </cell>
        </row>
        <row r="137">
          <cell r="E137" t="str">
            <v>Shawn Grandison</v>
          </cell>
        </row>
        <row r="138">
          <cell r="E138" t="str">
            <v>Shawn Grandison</v>
          </cell>
        </row>
        <row r="139">
          <cell r="E139" t="str">
            <v>Williams Equiptment</v>
          </cell>
        </row>
        <row r="140">
          <cell r="E140" t="str">
            <v>Williams Equiptment</v>
          </cell>
        </row>
        <row r="141">
          <cell r="E141" t="str">
            <v>Marshall's Trading</v>
          </cell>
        </row>
        <row r="142">
          <cell r="E142" t="str">
            <v>Shawn Grandison</v>
          </cell>
        </row>
        <row r="143">
          <cell r="E143" t="str">
            <v>Shawn Grandison</v>
          </cell>
        </row>
        <row r="144">
          <cell r="E144" t="str">
            <v>BL&amp;P</v>
          </cell>
        </row>
        <row r="145">
          <cell r="E145" t="str">
            <v>Ready Block</v>
          </cell>
        </row>
        <row r="146">
          <cell r="E146" t="str">
            <v>Shawn Grandison</v>
          </cell>
        </row>
        <row r="147">
          <cell r="E147" t="str">
            <v>Shawn Grandison</v>
          </cell>
        </row>
        <row r="148">
          <cell r="E148" t="str">
            <v>Ian Wiltshire</v>
          </cell>
        </row>
        <row r="149">
          <cell r="E149" t="str">
            <v>Ian Wiltshire</v>
          </cell>
        </row>
        <row r="150">
          <cell r="E150" t="str">
            <v>Ian Wiltshire</v>
          </cell>
        </row>
        <row r="151">
          <cell r="E151" t="str">
            <v>Ian Wiltshire</v>
          </cell>
        </row>
        <row r="152">
          <cell r="E152" t="str">
            <v>Ian Wiltshire</v>
          </cell>
        </row>
        <row r="153">
          <cell r="E153" t="str">
            <v>Shawn Grandison</v>
          </cell>
        </row>
        <row r="154">
          <cell r="E154" t="str">
            <v>Shawn Grandison</v>
          </cell>
        </row>
        <row r="155">
          <cell r="E155" t="str">
            <v>Greens's Exterminating &amp; Fencing</v>
          </cell>
        </row>
        <row r="156">
          <cell r="E156" t="str">
            <v>Carter &amp; Company</v>
          </cell>
        </row>
        <row r="157">
          <cell r="E157" t="str">
            <v>Infra Rentals</v>
          </cell>
        </row>
        <row r="158">
          <cell r="E158" t="str">
            <v>Modern Builders (Marlon)</v>
          </cell>
        </row>
        <row r="159">
          <cell r="E159" t="str">
            <v>Brian Hinds</v>
          </cell>
        </row>
        <row r="160">
          <cell r="E160" t="str">
            <v>Carter &amp; Company</v>
          </cell>
        </row>
        <row r="161">
          <cell r="E161" t="str">
            <v>Williams Equiptment</v>
          </cell>
        </row>
        <row r="162">
          <cell r="E162" t="str">
            <v>Tucker Johnston</v>
          </cell>
        </row>
        <row r="163">
          <cell r="E163" t="str">
            <v>Williams Equiptment</v>
          </cell>
        </row>
        <row r="164">
          <cell r="E164" t="str">
            <v>Ian Wiltshire</v>
          </cell>
        </row>
        <row r="165">
          <cell r="E165" t="str">
            <v>Ready Block</v>
          </cell>
        </row>
        <row r="166">
          <cell r="E166" t="str">
            <v>Ready Block</v>
          </cell>
        </row>
        <row r="167">
          <cell r="E167" t="str">
            <v>Carter &amp; Company</v>
          </cell>
        </row>
        <row r="168">
          <cell r="E168" t="str">
            <v>Shawn Grandison</v>
          </cell>
        </row>
        <row r="169">
          <cell r="E169" t="str">
            <v>Modern Builders (Marlon)</v>
          </cell>
        </row>
        <row r="170">
          <cell r="E170" t="str">
            <v>Modern Builders (Marlon)</v>
          </cell>
        </row>
        <row r="171">
          <cell r="E171" t="str">
            <v>Modern Builders (Marlon)</v>
          </cell>
        </row>
        <row r="172">
          <cell r="E172" t="str">
            <v>Modern Builders (Marlon)</v>
          </cell>
        </row>
        <row r="173">
          <cell r="E173" t="str">
            <v>Modern Builders (Marlon)</v>
          </cell>
        </row>
        <row r="174">
          <cell r="E174" t="str">
            <v>Ready Mix</v>
          </cell>
        </row>
        <row r="175">
          <cell r="E175" t="str">
            <v>Ready Mix</v>
          </cell>
        </row>
        <row r="176">
          <cell r="E176" t="str">
            <v>Ready Block</v>
          </cell>
        </row>
        <row r="177">
          <cell r="E177" t="str">
            <v>Ready Block</v>
          </cell>
        </row>
        <row r="178">
          <cell r="E178" t="str">
            <v>Carter &amp; Company</v>
          </cell>
        </row>
        <row r="179">
          <cell r="E179" t="str">
            <v>Dianne</v>
          </cell>
        </row>
        <row r="180">
          <cell r="E180" t="str">
            <v>Modern Builders (Marlon)</v>
          </cell>
        </row>
        <row r="181">
          <cell r="E181" t="str">
            <v>Modern Builders (Marlon)</v>
          </cell>
        </row>
        <row r="182">
          <cell r="E182" t="str">
            <v>Modern Builders (Marlon)</v>
          </cell>
        </row>
        <row r="183">
          <cell r="E183" t="str">
            <v>Williams Equiptment</v>
          </cell>
        </row>
        <row r="184">
          <cell r="E184" t="str">
            <v>Williams Equiptment</v>
          </cell>
        </row>
        <row r="185">
          <cell r="E185" t="str">
            <v>Williams Equiptment</v>
          </cell>
        </row>
        <row r="186">
          <cell r="E186" t="str">
            <v>Williams Equiptment</v>
          </cell>
        </row>
        <row r="187">
          <cell r="E187" t="str">
            <v>Williams Equiptment</v>
          </cell>
        </row>
        <row r="188">
          <cell r="E188" t="str">
            <v>Carter &amp; Company</v>
          </cell>
        </row>
        <row r="189">
          <cell r="E189" t="str">
            <v>Carter &amp; Company</v>
          </cell>
        </row>
        <row r="190">
          <cell r="E190" t="str">
            <v>Sievewright Rogers</v>
          </cell>
        </row>
        <row r="191">
          <cell r="E191" t="str">
            <v>Carter &amp; Company</v>
          </cell>
        </row>
        <row r="192">
          <cell r="E192" t="str">
            <v>Ian Wiltshire</v>
          </cell>
        </row>
        <row r="193">
          <cell r="E193" t="str">
            <v>Ian Wiltshire</v>
          </cell>
        </row>
        <row r="194">
          <cell r="E194" t="str">
            <v>Ian Wiltshire</v>
          </cell>
        </row>
        <row r="195">
          <cell r="E195" t="str">
            <v>Glassesco</v>
          </cell>
        </row>
        <row r="196">
          <cell r="E196" t="str">
            <v>Williams Equiptment</v>
          </cell>
        </row>
        <row r="197">
          <cell r="E197" t="str">
            <v>Ian Wiltshire</v>
          </cell>
        </row>
        <row r="198">
          <cell r="E198" t="str">
            <v>BRC West Indies</v>
          </cell>
        </row>
        <row r="199">
          <cell r="E199" t="str">
            <v>Modern Builders (Marlon)</v>
          </cell>
        </row>
        <row r="200">
          <cell r="E200" t="str">
            <v>Ian Wiltshire</v>
          </cell>
        </row>
        <row r="201">
          <cell r="E201" t="str">
            <v>Carter &amp; Company</v>
          </cell>
        </row>
        <row r="202">
          <cell r="E202" t="str">
            <v>Infra Rentals</v>
          </cell>
        </row>
        <row r="203">
          <cell r="E203" t="str">
            <v>Ready Block</v>
          </cell>
        </row>
        <row r="204">
          <cell r="E204" t="str">
            <v>Carter &amp; Company</v>
          </cell>
        </row>
        <row r="205">
          <cell r="E205" t="str">
            <v>Marshall's Trading</v>
          </cell>
        </row>
        <row r="206">
          <cell r="E206" t="str">
            <v>Brian Hinds</v>
          </cell>
        </row>
        <row r="207">
          <cell r="E207" t="str">
            <v>LG Lumber</v>
          </cell>
        </row>
        <row r="208">
          <cell r="E208" t="str">
            <v>Carter &amp; Company</v>
          </cell>
        </row>
        <row r="209">
          <cell r="E209" t="str">
            <v>BL&amp;P</v>
          </cell>
        </row>
        <row r="210">
          <cell r="E210" t="str">
            <v>Carter &amp; Company</v>
          </cell>
        </row>
        <row r="211">
          <cell r="E211" t="str">
            <v>BWA</v>
          </cell>
        </row>
        <row r="212">
          <cell r="E212" t="str">
            <v>Williams Equiptment</v>
          </cell>
        </row>
        <row r="213">
          <cell r="E213" t="str">
            <v>Carter &amp; Company</v>
          </cell>
        </row>
        <row r="214">
          <cell r="E214" t="str">
            <v>Carter &amp; Company</v>
          </cell>
        </row>
        <row r="215">
          <cell r="E215" t="str">
            <v>Modern Builders (Marlon)</v>
          </cell>
        </row>
        <row r="216">
          <cell r="E216" t="str">
            <v>Modern Builders (Marlon)</v>
          </cell>
        </row>
        <row r="217">
          <cell r="E217" t="str">
            <v>Adrian Knight</v>
          </cell>
        </row>
        <row r="218">
          <cell r="E218" t="str">
            <v>Marshall's Trading</v>
          </cell>
        </row>
        <row r="219">
          <cell r="E219" t="str">
            <v>Shawn Grandison</v>
          </cell>
        </row>
        <row r="220">
          <cell r="E220" t="str">
            <v>Modern Builders (Marlon)</v>
          </cell>
        </row>
        <row r="221">
          <cell r="E221" t="str">
            <v>Marshall's Trading</v>
          </cell>
        </row>
        <row r="222">
          <cell r="E222" t="str">
            <v>Williams Equiptment</v>
          </cell>
        </row>
        <row r="223">
          <cell r="E223" t="str">
            <v>Ready Block</v>
          </cell>
        </row>
        <row r="224">
          <cell r="E224" t="str">
            <v>Modern Builders (Marlon)</v>
          </cell>
        </row>
        <row r="225">
          <cell r="E225" t="str">
            <v>Modern Builders (Marlon)</v>
          </cell>
        </row>
        <row r="226">
          <cell r="E226" t="str">
            <v>Sievewright Rogers</v>
          </cell>
        </row>
        <row r="227">
          <cell r="E227" t="str">
            <v>Carter &amp; Company</v>
          </cell>
        </row>
        <row r="228">
          <cell r="E228" t="str">
            <v>Ready Mix</v>
          </cell>
        </row>
        <row r="229">
          <cell r="E229" t="str">
            <v>Ian Wiltshire</v>
          </cell>
        </row>
        <row r="230">
          <cell r="E230" t="str">
            <v>Ian Wiltshire</v>
          </cell>
        </row>
        <row r="231">
          <cell r="E231" t="str">
            <v>Dianne</v>
          </cell>
        </row>
        <row r="232">
          <cell r="E232" t="str">
            <v>Carter &amp; Company</v>
          </cell>
        </row>
        <row r="233">
          <cell r="E233" t="str">
            <v>Carter &amp; Company</v>
          </cell>
        </row>
        <row r="234">
          <cell r="E234" t="str">
            <v>Stephen Carter</v>
          </cell>
        </row>
        <row r="235">
          <cell r="E235" t="str">
            <v>Williams Equiptment</v>
          </cell>
        </row>
        <row r="236">
          <cell r="E236" t="str">
            <v>Glassesco</v>
          </cell>
        </row>
        <row r="237">
          <cell r="E237" t="str">
            <v>Infra Rentals</v>
          </cell>
        </row>
        <row r="238">
          <cell r="E238" t="str">
            <v>Modern Builders (Marlon)</v>
          </cell>
        </row>
        <row r="239">
          <cell r="E239" t="str">
            <v>Modern Builders (Marlon)</v>
          </cell>
        </row>
        <row r="240">
          <cell r="E240" t="str">
            <v>Modern Builders (Marlon)</v>
          </cell>
        </row>
        <row r="241">
          <cell r="E241" t="str">
            <v>Ready Block</v>
          </cell>
        </row>
        <row r="242">
          <cell r="E242" t="str">
            <v>Ready Block</v>
          </cell>
        </row>
        <row r="243">
          <cell r="E243" t="str">
            <v>Carter &amp; Company</v>
          </cell>
        </row>
        <row r="244">
          <cell r="E244" t="str">
            <v>Modern Builders (Marlon)</v>
          </cell>
        </row>
        <row r="245">
          <cell r="E245" t="str">
            <v>Williams Equiptment</v>
          </cell>
        </row>
        <row r="246">
          <cell r="E246" t="str">
            <v>Ready Mix</v>
          </cell>
        </row>
        <row r="247">
          <cell r="E247" t="str">
            <v>BL&amp;P</v>
          </cell>
        </row>
        <row r="248">
          <cell r="E248" t="str">
            <v>Ready Block</v>
          </cell>
        </row>
        <row r="249">
          <cell r="E249" t="str">
            <v>Ready Block</v>
          </cell>
        </row>
        <row r="250">
          <cell r="E250" t="str">
            <v>Brian Hinds</v>
          </cell>
        </row>
        <row r="251">
          <cell r="E251" t="str">
            <v>Land Tax</v>
          </cell>
        </row>
        <row r="252">
          <cell r="E252" t="str">
            <v>Carter &amp; Company</v>
          </cell>
        </row>
        <row r="253">
          <cell r="E253" t="str">
            <v>Misc</v>
          </cell>
        </row>
        <row r="254">
          <cell r="E254" t="str">
            <v>Ready Block</v>
          </cell>
        </row>
        <row r="255">
          <cell r="E255" t="str">
            <v>BWA</v>
          </cell>
        </row>
        <row r="256">
          <cell r="E256" t="str">
            <v>Carter &amp; Company</v>
          </cell>
        </row>
        <row r="257">
          <cell r="E257" t="str">
            <v>Ian Wiltshire</v>
          </cell>
        </row>
        <row r="258">
          <cell r="E258" t="str">
            <v>Ian Wiltshire</v>
          </cell>
        </row>
        <row r="259">
          <cell r="E259" t="str">
            <v>Ian Wiltshire</v>
          </cell>
        </row>
        <row r="260">
          <cell r="E260" t="str">
            <v>Ian Wiltshire</v>
          </cell>
        </row>
        <row r="261">
          <cell r="E261" t="str">
            <v>Williams Equiptment</v>
          </cell>
        </row>
        <row r="262">
          <cell r="E262" t="str">
            <v>Williams Equiptment</v>
          </cell>
        </row>
        <row r="263">
          <cell r="E263" t="str">
            <v>Brian Hinds</v>
          </cell>
        </row>
        <row r="264">
          <cell r="E264" t="str">
            <v>Carter &amp; Company</v>
          </cell>
        </row>
        <row r="265">
          <cell r="E265" t="str">
            <v>Carter &amp; Company</v>
          </cell>
        </row>
        <row r="266">
          <cell r="E266" t="str">
            <v>BL&amp;P</v>
          </cell>
        </row>
        <row r="267">
          <cell r="E267" t="str">
            <v>Marshall's Trading</v>
          </cell>
        </row>
        <row r="268">
          <cell r="E268" t="str">
            <v>Carter &amp; Company</v>
          </cell>
        </row>
        <row r="269">
          <cell r="E269" t="str">
            <v>Modern Builders (Marlon)</v>
          </cell>
        </row>
        <row r="270">
          <cell r="E270" t="str">
            <v>Marcia (10K + Sievewright Rogers)</v>
          </cell>
        </row>
        <row r="271">
          <cell r="E271" t="str">
            <v>Infra Rentals</v>
          </cell>
        </row>
        <row r="272">
          <cell r="E272" t="str">
            <v>BRC West Indies</v>
          </cell>
        </row>
        <row r="273">
          <cell r="E273" t="str">
            <v>Ian Wiltshire</v>
          </cell>
        </row>
        <row r="274">
          <cell r="E274" t="str">
            <v>Carter &amp; Company</v>
          </cell>
        </row>
        <row r="275">
          <cell r="E275" t="str">
            <v>Carter &amp; Company</v>
          </cell>
        </row>
        <row r="276">
          <cell r="E276" t="str">
            <v>Carter &amp; Company</v>
          </cell>
        </row>
        <row r="277">
          <cell r="E277" t="str">
            <v>Carter &amp; Company</v>
          </cell>
        </row>
        <row r="278">
          <cell r="E278" t="str">
            <v>Emtage Electric</v>
          </cell>
        </row>
        <row r="279">
          <cell r="E279" t="str">
            <v>Shawn Grandison</v>
          </cell>
        </row>
        <row r="280">
          <cell r="E280" t="str">
            <v>Meridian Windows</v>
          </cell>
        </row>
        <row r="281">
          <cell r="E281" t="str">
            <v>Meridian Windows</v>
          </cell>
        </row>
        <row r="282">
          <cell r="E282" t="str">
            <v>Meridian Windows</v>
          </cell>
        </row>
        <row r="283">
          <cell r="E283" t="str">
            <v>Modern Builders (Marlon)</v>
          </cell>
        </row>
        <row r="284">
          <cell r="E284" t="str">
            <v>Modern Builders (Marlon)</v>
          </cell>
        </row>
        <row r="285">
          <cell r="E285" t="str">
            <v>Modern Builders (Marlon)</v>
          </cell>
        </row>
        <row r="286">
          <cell r="E286" t="str">
            <v>Carter &amp; Company</v>
          </cell>
        </row>
        <row r="287">
          <cell r="E287" t="str">
            <v>Ian Wiltshire</v>
          </cell>
        </row>
        <row r="288">
          <cell r="E288" t="str">
            <v>BWA</v>
          </cell>
        </row>
        <row r="289">
          <cell r="E289" t="str">
            <v>Ready Block</v>
          </cell>
        </row>
        <row r="290">
          <cell r="E290" t="str">
            <v>Odoll's Ltd</v>
          </cell>
        </row>
        <row r="291">
          <cell r="E291" t="str">
            <v>Kenrick Holder</v>
          </cell>
        </row>
        <row r="292">
          <cell r="E292" t="str">
            <v>Glassesco</v>
          </cell>
        </row>
        <row r="293">
          <cell r="E293" t="str">
            <v>Brian Hinds</v>
          </cell>
        </row>
        <row r="294">
          <cell r="E294" t="str">
            <v>Modern Builders (Marlon)</v>
          </cell>
        </row>
        <row r="295">
          <cell r="E295" t="str">
            <v>Sievewright Rogers</v>
          </cell>
        </row>
        <row r="296">
          <cell r="E296" t="str">
            <v>BL&amp;P</v>
          </cell>
        </row>
        <row r="297">
          <cell r="E297" t="str">
            <v>BWA</v>
          </cell>
        </row>
        <row r="298">
          <cell r="E298" t="str">
            <v>Williams Equiptment</v>
          </cell>
        </row>
        <row r="299">
          <cell r="E299" t="str">
            <v>Ready Mix</v>
          </cell>
        </row>
        <row r="300">
          <cell r="E300" t="str">
            <v>Meridian Windows</v>
          </cell>
        </row>
        <row r="301">
          <cell r="E301" t="str">
            <v>Meridian Windows</v>
          </cell>
        </row>
        <row r="302">
          <cell r="E302" t="str">
            <v>Meridian Windows</v>
          </cell>
        </row>
        <row r="303">
          <cell r="E303" t="str">
            <v>Ian Wiltshire</v>
          </cell>
        </row>
        <row r="304">
          <cell r="E304" t="str">
            <v>Carter &amp; Company</v>
          </cell>
        </row>
        <row r="305">
          <cell r="E305" t="str">
            <v>Williams Equiptment</v>
          </cell>
        </row>
        <row r="306">
          <cell r="E306" t="str">
            <v>Williams Equiptment</v>
          </cell>
        </row>
        <row r="307">
          <cell r="E307" t="str">
            <v>BRC West Indies</v>
          </cell>
        </row>
        <row r="308">
          <cell r="E308" t="str">
            <v>Carter &amp; Company</v>
          </cell>
        </row>
        <row r="309">
          <cell r="E309" t="str">
            <v>Carter &amp; Company</v>
          </cell>
        </row>
        <row r="310">
          <cell r="E310" t="str">
            <v>Marcia (10K + Sievewright Rogers)</v>
          </cell>
        </row>
        <row r="311">
          <cell r="E311" t="str">
            <v>Shawn Grandison</v>
          </cell>
        </row>
        <row r="312">
          <cell r="E312" t="str">
            <v>Shawn Grandison</v>
          </cell>
        </row>
        <row r="313">
          <cell r="E313" t="str">
            <v>Rayside Construction Ltd</v>
          </cell>
        </row>
        <row r="314">
          <cell r="E314" t="str">
            <v>Williams Equiptment</v>
          </cell>
        </row>
        <row r="315">
          <cell r="E315" t="str">
            <v>Williams Equiptment</v>
          </cell>
        </row>
        <row r="316">
          <cell r="E316" t="str">
            <v>SG Building Maintenance &amp; Finishing Inc.</v>
          </cell>
        </row>
        <row r="317">
          <cell r="E317" t="str">
            <v>Infra Rentals</v>
          </cell>
        </row>
        <row r="318">
          <cell r="E318" t="str">
            <v>Carter &amp; Company</v>
          </cell>
        </row>
        <row r="319">
          <cell r="E319" t="str">
            <v>Carter &amp; Company</v>
          </cell>
        </row>
        <row r="320">
          <cell r="E320" t="str">
            <v>SG Building Maintenance &amp; Finishing Inc.</v>
          </cell>
        </row>
        <row r="321">
          <cell r="E321" t="str">
            <v>Brian Hinds</v>
          </cell>
        </row>
        <row r="322">
          <cell r="E322" t="str">
            <v>Modern Builders (Marlon)</v>
          </cell>
        </row>
        <row r="323">
          <cell r="E323" t="str">
            <v>Modern Builders (Marlon)</v>
          </cell>
        </row>
        <row r="324">
          <cell r="E324" t="str">
            <v>BL&amp;P</v>
          </cell>
        </row>
        <row r="325">
          <cell r="E325" t="str">
            <v>Carter &amp; Company</v>
          </cell>
        </row>
        <row r="326">
          <cell r="E326" t="str">
            <v>Modern Builders (Marlon)</v>
          </cell>
        </row>
        <row r="327">
          <cell r="E327" t="str">
            <v>Modern Builders (Marlon)</v>
          </cell>
        </row>
        <row r="328">
          <cell r="E328" t="str">
            <v>Carter &amp; Company</v>
          </cell>
        </row>
        <row r="329">
          <cell r="E329" t="str">
            <v>Glassesco</v>
          </cell>
        </row>
        <row r="330">
          <cell r="E330" t="str">
            <v>BWA</v>
          </cell>
        </row>
        <row r="331">
          <cell r="E331" t="str">
            <v>Williams Equiptment</v>
          </cell>
        </row>
        <row r="332">
          <cell r="E332" t="str">
            <v>Carter &amp; Company</v>
          </cell>
        </row>
        <row r="333">
          <cell r="E333" t="str">
            <v>Williams Equiptment</v>
          </cell>
        </row>
        <row r="334">
          <cell r="E334" t="str">
            <v>Modern Builders (Marlon)</v>
          </cell>
        </row>
        <row r="335">
          <cell r="E335" t="str">
            <v>Modern Builders (Marlon)</v>
          </cell>
        </row>
        <row r="336">
          <cell r="E336" t="str">
            <v>Modern Builders (Marlon)</v>
          </cell>
        </row>
        <row r="337">
          <cell r="E337" t="str">
            <v>Brian Hinds</v>
          </cell>
        </row>
        <row r="338">
          <cell r="E338" t="str">
            <v>Modern Builders (Marlon)</v>
          </cell>
        </row>
        <row r="339">
          <cell r="E339" t="str">
            <v>Modern Builders (Marlon)</v>
          </cell>
        </row>
        <row r="340">
          <cell r="E340" t="str">
            <v>Shawn Grandison</v>
          </cell>
        </row>
        <row r="341">
          <cell r="E341" t="str">
            <v>Ian Wiltshire</v>
          </cell>
        </row>
        <row r="342">
          <cell r="E342" t="str">
            <v>Ian Wiltshire</v>
          </cell>
        </row>
        <row r="343">
          <cell r="E343" t="str">
            <v>Williams Equiptment</v>
          </cell>
        </row>
        <row r="344">
          <cell r="E344" t="str">
            <v>Structural Systems</v>
          </cell>
        </row>
        <row r="345">
          <cell r="E345" t="str">
            <v>Rayside Construction Ltd</v>
          </cell>
        </row>
        <row r="346">
          <cell r="E346" t="str">
            <v>Ready Block</v>
          </cell>
        </row>
        <row r="347">
          <cell r="E347" t="str">
            <v>Carter &amp; Company</v>
          </cell>
        </row>
        <row r="348">
          <cell r="E348" t="str">
            <v>Carter &amp; Company</v>
          </cell>
        </row>
        <row r="349">
          <cell r="E349" t="str">
            <v>Infra Rentals</v>
          </cell>
        </row>
        <row r="350">
          <cell r="E350" t="str">
            <v>Harris Paint Barbados LTD</v>
          </cell>
        </row>
        <row r="351">
          <cell r="E351" t="str">
            <v>BRC West Indies</v>
          </cell>
        </row>
        <row r="352">
          <cell r="E352" t="str">
            <v>SG Building Maintenance &amp; Finishing Inc.</v>
          </cell>
        </row>
        <row r="353">
          <cell r="E353" t="str">
            <v>BL&amp;P</v>
          </cell>
        </row>
        <row r="354">
          <cell r="E354" t="str">
            <v>Rayside Construction Ltd</v>
          </cell>
        </row>
        <row r="355">
          <cell r="E355" t="str">
            <v>Trowel Plastic</v>
          </cell>
        </row>
        <row r="356">
          <cell r="E356" t="str">
            <v>Carter &amp; Company</v>
          </cell>
        </row>
        <row r="357">
          <cell r="E357" t="str">
            <v>Carter &amp; Company</v>
          </cell>
        </row>
        <row r="358">
          <cell r="E358" t="str">
            <v>Carter &amp; Company</v>
          </cell>
        </row>
        <row r="359">
          <cell r="E359" t="str">
            <v>Carter &amp; Company</v>
          </cell>
        </row>
        <row r="360">
          <cell r="E360" t="str">
            <v>Marcia Rogers</v>
          </cell>
        </row>
        <row r="361">
          <cell r="E361" t="str">
            <v>Meridian Windows</v>
          </cell>
        </row>
        <row r="362">
          <cell r="E362" t="str">
            <v>Ready Block</v>
          </cell>
        </row>
        <row r="363">
          <cell r="E363" t="str">
            <v>Ready Block</v>
          </cell>
        </row>
        <row r="364">
          <cell r="E364" t="str">
            <v>Carter &amp; Company</v>
          </cell>
        </row>
        <row r="365">
          <cell r="E365" t="str">
            <v>BL&amp;P</v>
          </cell>
        </row>
        <row r="366">
          <cell r="E366" t="str">
            <v>Hothersal Trading</v>
          </cell>
        </row>
        <row r="367">
          <cell r="E367" t="str">
            <v>Marshall's Trading</v>
          </cell>
        </row>
        <row r="368">
          <cell r="E368" t="str">
            <v>BRC West Indies</v>
          </cell>
        </row>
        <row r="369">
          <cell r="E369" t="str">
            <v>Fasteners Barbados LTD</v>
          </cell>
        </row>
        <row r="370">
          <cell r="E370" t="str">
            <v>Modern Builders (Marlon)</v>
          </cell>
        </row>
        <row r="371">
          <cell r="E371" t="str">
            <v>Modern Builders (Marlon)</v>
          </cell>
        </row>
        <row r="372">
          <cell r="E372" t="str">
            <v>Modern Builders (Marlon)</v>
          </cell>
        </row>
        <row r="373">
          <cell r="E373" t="str">
            <v>Sievewright Rogers</v>
          </cell>
        </row>
        <row r="374">
          <cell r="E374" t="str">
            <v>Xfer</v>
          </cell>
        </row>
        <row r="375">
          <cell r="E375" t="str">
            <v>BRC West Indies</v>
          </cell>
        </row>
        <row r="376">
          <cell r="E376" t="str">
            <v>Carter &amp; Company</v>
          </cell>
        </row>
        <row r="377">
          <cell r="E377" t="str">
            <v>Marcia Rogers</v>
          </cell>
        </row>
        <row r="378">
          <cell r="E378" t="str">
            <v>Marcia Rogers</v>
          </cell>
        </row>
        <row r="379">
          <cell r="E379" t="str">
            <v>Williams Equiptment</v>
          </cell>
        </row>
        <row r="380">
          <cell r="E380" t="str">
            <v>Brian Hinds</v>
          </cell>
        </row>
        <row r="381">
          <cell r="E381" t="str">
            <v>Wolseley</v>
          </cell>
        </row>
        <row r="382">
          <cell r="E382" t="str">
            <v>Desmond</v>
          </cell>
        </row>
        <row r="383">
          <cell r="E383" t="str">
            <v>Desmond</v>
          </cell>
        </row>
        <row r="384">
          <cell r="E384" t="str">
            <v>Ian Wiltshire</v>
          </cell>
        </row>
        <row r="385">
          <cell r="E385" t="str">
            <v>Ian Wiltshire</v>
          </cell>
        </row>
        <row r="386">
          <cell r="E386">
            <v>5.44</v>
          </cell>
        </row>
        <row r="387">
          <cell r="E387" t="str">
            <v>BWA</v>
          </cell>
        </row>
        <row r="388">
          <cell r="E388" t="str">
            <v>Infra Rentals</v>
          </cell>
        </row>
        <row r="389">
          <cell r="E389" t="str">
            <v>Greg (From Carters)</v>
          </cell>
        </row>
        <row r="390">
          <cell r="E390" t="str">
            <v>Williams Equiptment</v>
          </cell>
        </row>
        <row r="391">
          <cell r="E391" t="str">
            <v>Greg (From Carters)</v>
          </cell>
        </row>
        <row r="392">
          <cell r="E392" t="str">
            <v>Greg (From Carters)</v>
          </cell>
        </row>
        <row r="393">
          <cell r="E393" t="str">
            <v>Greg (From Carters)</v>
          </cell>
        </row>
        <row r="394">
          <cell r="E394" t="str">
            <v>Greg (From Blades &amp; Williams)</v>
          </cell>
        </row>
        <row r="395">
          <cell r="E395" t="str">
            <v>Greg (From Carters)</v>
          </cell>
        </row>
        <row r="396">
          <cell r="E396" t="str">
            <v>BRC West Indies</v>
          </cell>
        </row>
        <row r="397">
          <cell r="E397" t="str">
            <v>Kenrick Holder</v>
          </cell>
        </row>
        <row r="398">
          <cell r="E398" t="str">
            <v>Marshall's Trading</v>
          </cell>
        </row>
        <row r="399">
          <cell r="E399" t="str">
            <v>Carter &amp; Company</v>
          </cell>
        </row>
        <row r="400">
          <cell r="E400" t="str">
            <v>Discount Hardware Store, Charles Rowe Bridge</v>
          </cell>
        </row>
        <row r="401">
          <cell r="E401" t="str">
            <v>Shawn Grandison</v>
          </cell>
        </row>
        <row r="402">
          <cell r="E402" t="str">
            <v>Williams Equiptment</v>
          </cell>
        </row>
        <row r="403">
          <cell r="E403" t="str">
            <v>Ready Block</v>
          </cell>
        </row>
        <row r="404">
          <cell r="E404" t="str">
            <v>BL&amp;P</v>
          </cell>
        </row>
        <row r="405">
          <cell r="E405" t="str">
            <v>Brian Hinds</v>
          </cell>
        </row>
        <row r="406">
          <cell r="E406" t="str">
            <v>Desmond</v>
          </cell>
        </row>
        <row r="407">
          <cell r="E407" t="str">
            <v>Desmond</v>
          </cell>
        </row>
        <row r="408">
          <cell r="E408" t="str">
            <v>Carter &amp; Company</v>
          </cell>
        </row>
        <row r="409">
          <cell r="E409" t="str">
            <v>Shawn Grandison</v>
          </cell>
        </row>
        <row r="410">
          <cell r="E410" t="str">
            <v>Garbage Gobbler</v>
          </cell>
        </row>
        <row r="411">
          <cell r="E411" t="str">
            <v>Glassesco</v>
          </cell>
        </row>
        <row r="412">
          <cell r="E412" t="str">
            <v>Kenrick Holder</v>
          </cell>
        </row>
        <row r="413">
          <cell r="E413" t="str">
            <v>Shawn Grandison</v>
          </cell>
        </row>
        <row r="414">
          <cell r="E414" t="str">
            <v>RM Garbage Master LTD</v>
          </cell>
        </row>
        <row r="415">
          <cell r="E415" t="str">
            <v>Carter &amp; Company</v>
          </cell>
        </row>
        <row r="416">
          <cell r="E416" t="str">
            <v>Williams Equiptment</v>
          </cell>
        </row>
        <row r="417">
          <cell r="E417" t="str">
            <v>Nicholas Small</v>
          </cell>
        </row>
        <row r="418">
          <cell r="E418" t="str">
            <v>Greg (From Carters)</v>
          </cell>
        </row>
        <row r="419">
          <cell r="E419" t="str">
            <v>Sievewright Rogers</v>
          </cell>
        </row>
        <row r="420">
          <cell r="E420" t="str">
            <v>Modern Builders (Marlon)</v>
          </cell>
        </row>
        <row r="421">
          <cell r="E421" t="str">
            <v>Modern Builders (Marlon)</v>
          </cell>
        </row>
        <row r="422">
          <cell r="E422" t="str">
            <v>Modern Builders (Marlon)</v>
          </cell>
        </row>
        <row r="423">
          <cell r="E423" t="str">
            <v>Modern Builders (Marlon)</v>
          </cell>
        </row>
        <row r="424">
          <cell r="E424" t="str">
            <v>Modern Builders (Marlon)</v>
          </cell>
        </row>
        <row r="425">
          <cell r="E425" t="str">
            <v>Modern Builders (Marlon)</v>
          </cell>
        </row>
        <row r="426">
          <cell r="E426" t="str">
            <v>Modern Builders (Marlon)</v>
          </cell>
        </row>
        <row r="427">
          <cell r="E427" t="str">
            <v>Misc</v>
          </cell>
        </row>
        <row r="428">
          <cell r="E428" t="str">
            <v>Ian Wiltshire</v>
          </cell>
        </row>
        <row r="429">
          <cell r="E429" t="str">
            <v>Ian Wiltshire</v>
          </cell>
        </row>
        <row r="430">
          <cell r="E430" t="str">
            <v>Ian Wiltshire</v>
          </cell>
        </row>
        <row r="431">
          <cell r="E431" t="str">
            <v>Ian Wiltshire</v>
          </cell>
        </row>
        <row r="432">
          <cell r="E432" t="str">
            <v>Ian Wiltshire</v>
          </cell>
        </row>
        <row r="433">
          <cell r="E433" t="str">
            <v>Ian Wiltshire</v>
          </cell>
        </row>
        <row r="434">
          <cell r="E434" t="str">
            <v>Ian Wiltshire</v>
          </cell>
        </row>
        <row r="435">
          <cell r="E435" t="str">
            <v>Carter &amp; Company</v>
          </cell>
        </row>
        <row r="436">
          <cell r="E436" t="str">
            <v>Carter &amp; Company</v>
          </cell>
        </row>
        <row r="437">
          <cell r="E437" t="str">
            <v>Carter &amp; Company</v>
          </cell>
        </row>
        <row r="438">
          <cell r="E438" t="str">
            <v>Williams Equiptment</v>
          </cell>
        </row>
        <row r="439">
          <cell r="E439" t="str">
            <v>Carter &amp; Company</v>
          </cell>
        </row>
        <row r="440">
          <cell r="E440" t="str">
            <v>Ian Wiltshire</v>
          </cell>
        </row>
        <row r="441">
          <cell r="E441" t="str">
            <v>Carter &amp; Company</v>
          </cell>
        </row>
        <row r="442">
          <cell r="E442" t="str">
            <v>Carter &amp; Company</v>
          </cell>
        </row>
        <row r="443">
          <cell r="E443" t="str">
            <v>Carter &amp; Company</v>
          </cell>
        </row>
        <row r="444">
          <cell r="E444" t="str">
            <v>BWA</v>
          </cell>
        </row>
        <row r="445">
          <cell r="E445" t="str">
            <v>BWA</v>
          </cell>
        </row>
        <row r="446">
          <cell r="E446" t="str">
            <v>Modern Builders (Marlon)</v>
          </cell>
        </row>
        <row r="447">
          <cell r="E447" t="str">
            <v>Modern Builders (Marlon)</v>
          </cell>
        </row>
        <row r="448">
          <cell r="E448" t="str">
            <v>Modern Builders (Marlon)</v>
          </cell>
        </row>
        <row r="449">
          <cell r="E449" t="str">
            <v>Modern Builders (Marlon)</v>
          </cell>
        </row>
        <row r="450">
          <cell r="E450" t="str">
            <v>BL&amp;P</v>
          </cell>
        </row>
        <row r="451">
          <cell r="E451" t="str">
            <v>Brian Hinds</v>
          </cell>
        </row>
        <row r="452">
          <cell r="E452" t="str">
            <v>Infra Rentals</v>
          </cell>
        </row>
        <row r="453">
          <cell r="E453" t="str">
            <v>Shawn Grandison</v>
          </cell>
        </row>
        <row r="454">
          <cell r="E454" t="str">
            <v>Sievewright Rogers</v>
          </cell>
        </row>
        <row r="455">
          <cell r="E455" t="str">
            <v>Marshall's Trading</v>
          </cell>
        </row>
        <row r="456">
          <cell r="E456" t="str">
            <v>BWA</v>
          </cell>
        </row>
        <row r="457">
          <cell r="E457" t="str">
            <v>Carter &amp; Company</v>
          </cell>
        </row>
        <row r="458">
          <cell r="E458" t="str">
            <v>Williams Equiptment</v>
          </cell>
        </row>
        <row r="459">
          <cell r="E459" t="str">
            <v>Carter &amp; Company</v>
          </cell>
        </row>
        <row r="460">
          <cell r="E460" t="str">
            <v>Carter &amp; Company</v>
          </cell>
        </row>
        <row r="461">
          <cell r="E461" t="str">
            <v>Carter &amp; Company</v>
          </cell>
        </row>
        <row r="462">
          <cell r="E462" t="str">
            <v>Shawn Grandison</v>
          </cell>
        </row>
        <row r="463">
          <cell r="E463" t="str">
            <v>Modern Builders (Marlon)</v>
          </cell>
        </row>
        <row r="464">
          <cell r="E464" t="str">
            <v>Modern Builders (Marlon)</v>
          </cell>
        </row>
        <row r="465">
          <cell r="E465" t="str">
            <v>Modern Builders (Marlon)</v>
          </cell>
        </row>
        <row r="466">
          <cell r="E466" t="str">
            <v>Modern Builders (Marlon)</v>
          </cell>
        </row>
        <row r="467">
          <cell r="E467" t="str">
            <v>Modern Builders (Marlon)</v>
          </cell>
        </row>
        <row r="468">
          <cell r="E468" t="str">
            <v>Meridian Windows</v>
          </cell>
        </row>
        <row r="469">
          <cell r="E469" t="str">
            <v>Carter &amp; Company</v>
          </cell>
        </row>
        <row r="470">
          <cell r="E470" t="str">
            <v>Laparkan</v>
          </cell>
        </row>
        <row r="471">
          <cell r="E471" t="str">
            <v>Trowel Plastic</v>
          </cell>
        </row>
        <row r="472">
          <cell r="E472" t="str">
            <v>Ready Block</v>
          </cell>
        </row>
        <row r="473">
          <cell r="E473" t="str">
            <v>BL&amp;P</v>
          </cell>
        </row>
        <row r="474">
          <cell r="E474" t="str">
            <v>Glassesco</v>
          </cell>
        </row>
        <row r="475">
          <cell r="E475" t="str">
            <v>Infra Rentals</v>
          </cell>
        </row>
        <row r="476">
          <cell r="E476" t="str">
            <v>Carter &amp; Company</v>
          </cell>
        </row>
        <row r="477">
          <cell r="E477" t="str">
            <v>Modern Builders (Marlon)</v>
          </cell>
        </row>
        <row r="478">
          <cell r="E478" t="str">
            <v>Modern Builders (Marlon)</v>
          </cell>
        </row>
        <row r="479">
          <cell r="E479" t="str">
            <v>Modern Builders (Marlon)</v>
          </cell>
        </row>
        <row r="480">
          <cell r="E480" t="str">
            <v>Modern Builders (Marlon)</v>
          </cell>
        </row>
        <row r="481">
          <cell r="E481" t="str">
            <v>Modern Builders (Marlon)</v>
          </cell>
        </row>
        <row r="482">
          <cell r="E482" t="str">
            <v>Modern Builders (Marlon)</v>
          </cell>
        </row>
        <row r="483">
          <cell r="E483" t="str">
            <v>Meridian Windows</v>
          </cell>
        </row>
        <row r="484">
          <cell r="E484" t="str">
            <v>BWA</v>
          </cell>
        </row>
        <row r="485">
          <cell r="E485" t="str">
            <v>Brian Hinds</v>
          </cell>
        </row>
        <row r="486">
          <cell r="E486" t="str">
            <v>KooyMan</v>
          </cell>
        </row>
        <row r="487">
          <cell r="E487" t="str">
            <v>KooyMan</v>
          </cell>
        </row>
        <row r="488">
          <cell r="E488" t="str">
            <v>Carter &amp; Company</v>
          </cell>
        </row>
        <row r="489">
          <cell r="E489" t="str">
            <v>Marshall's Trading</v>
          </cell>
        </row>
        <row r="490">
          <cell r="E490" t="str">
            <v>Sievewright Rogers</v>
          </cell>
        </row>
        <row r="491">
          <cell r="E491" t="str">
            <v>Williams Equiptment</v>
          </cell>
        </row>
        <row r="492">
          <cell r="E492" t="str">
            <v>All Phase Electrical Supplies Inc</v>
          </cell>
        </row>
        <row r="493">
          <cell r="E493" t="str">
            <v>BRC West Indies</v>
          </cell>
        </row>
        <row r="494">
          <cell r="E494" t="str">
            <v>Carter &amp; Company</v>
          </cell>
        </row>
        <row r="495">
          <cell r="E495" t="str">
            <v>Carter &amp; Company</v>
          </cell>
        </row>
        <row r="496">
          <cell r="E496" t="str">
            <v>Carter &amp; Company</v>
          </cell>
        </row>
        <row r="497">
          <cell r="E497" t="str">
            <v>Ian Wiltshire</v>
          </cell>
        </row>
        <row r="498">
          <cell r="E498" t="str">
            <v>Infra Rentals</v>
          </cell>
        </row>
        <row r="499">
          <cell r="E499" t="str">
            <v>KooyMan</v>
          </cell>
        </row>
        <row r="500">
          <cell r="E500" t="str">
            <v>Modern Builders (Marlon)</v>
          </cell>
        </row>
        <row r="501">
          <cell r="E501" t="str">
            <v>Modern Builders (Marlon)</v>
          </cell>
        </row>
        <row r="502">
          <cell r="E502" t="str">
            <v>Modern Builders (Marlon)</v>
          </cell>
        </row>
        <row r="503">
          <cell r="E503" t="str">
            <v>Modern Builders (Marlon)</v>
          </cell>
        </row>
        <row r="504">
          <cell r="E504" t="str">
            <v>Modern Builders (Marlon)</v>
          </cell>
        </row>
        <row r="505">
          <cell r="E505" t="str">
            <v>Modern Builders (Marlon)</v>
          </cell>
        </row>
        <row r="506">
          <cell r="E506" t="str">
            <v>Modern Builders (Marlon)</v>
          </cell>
        </row>
        <row r="507">
          <cell r="E507" t="str">
            <v>Modern Builders (Marlon)</v>
          </cell>
        </row>
        <row r="508">
          <cell r="E508" t="str">
            <v>BRC West Indies</v>
          </cell>
        </row>
        <row r="509">
          <cell r="E509" t="str">
            <v>Tile Hut</v>
          </cell>
        </row>
        <row r="510">
          <cell r="E510" t="str">
            <v>Carter &amp; Company</v>
          </cell>
        </row>
        <row r="511">
          <cell r="E511" t="str">
            <v xml:space="preserve">City Of Bridgetown </v>
          </cell>
        </row>
        <row r="512">
          <cell r="E512" t="str">
            <v>Desmond</v>
          </cell>
        </row>
        <row r="513">
          <cell r="E513" t="str">
            <v>Desmond</v>
          </cell>
        </row>
        <row r="514">
          <cell r="E514" t="str">
            <v>Tile Hut</v>
          </cell>
        </row>
        <row r="515">
          <cell r="E515" t="str">
            <v>Williams Equiptment</v>
          </cell>
        </row>
        <row r="516">
          <cell r="E516" t="str">
            <v>Brian Hinds</v>
          </cell>
        </row>
        <row r="517">
          <cell r="E517" t="str">
            <v>BL&amp;P</v>
          </cell>
        </row>
        <row r="518">
          <cell r="E518" t="str">
            <v>Shawn Grandison</v>
          </cell>
        </row>
        <row r="519">
          <cell r="E519" t="str">
            <v>Carter &amp; Company</v>
          </cell>
        </row>
        <row r="520">
          <cell r="E520" t="str">
            <v>Carter &amp; Company</v>
          </cell>
        </row>
        <row r="521">
          <cell r="E521" t="str">
            <v>Williams Equiptment</v>
          </cell>
        </row>
        <row r="522">
          <cell r="E522" t="str">
            <v>Carter &amp; Company</v>
          </cell>
        </row>
        <row r="523">
          <cell r="E523" t="str">
            <v>Carter &amp; Company</v>
          </cell>
        </row>
        <row r="524">
          <cell r="E524" t="str">
            <v>BWA</v>
          </cell>
        </row>
        <row r="525">
          <cell r="E525" t="str">
            <v>Sievewright Rogers</v>
          </cell>
        </row>
        <row r="526">
          <cell r="E526" t="str">
            <v>Carter &amp; Company</v>
          </cell>
        </row>
        <row r="527">
          <cell r="E527" t="str">
            <v>Carter &amp; Company</v>
          </cell>
        </row>
        <row r="528">
          <cell r="E528" t="str">
            <v>Carter &amp; Company</v>
          </cell>
        </row>
        <row r="529">
          <cell r="E529" t="str">
            <v>Carter &amp; Company</v>
          </cell>
        </row>
        <row r="530">
          <cell r="E530" t="str">
            <v>Carter &amp; Company</v>
          </cell>
        </row>
        <row r="531">
          <cell r="E531" t="str">
            <v>Williams Equiptment</v>
          </cell>
        </row>
        <row r="532">
          <cell r="E532" t="str">
            <v>Williams Equiptment</v>
          </cell>
        </row>
        <row r="533">
          <cell r="E533" t="str">
            <v>Ian Wiltshire</v>
          </cell>
        </row>
        <row r="534">
          <cell r="E534" t="str">
            <v>Keystone</v>
          </cell>
        </row>
        <row r="535">
          <cell r="E535" t="str">
            <v>Keystone</v>
          </cell>
        </row>
        <row r="536">
          <cell r="E536" t="str">
            <v>Keystone</v>
          </cell>
        </row>
        <row r="537">
          <cell r="E537" t="str">
            <v>Carter &amp; Company</v>
          </cell>
        </row>
        <row r="538">
          <cell r="E538" t="str">
            <v>Barbados Steel Works</v>
          </cell>
        </row>
        <row r="539">
          <cell r="E539" t="str">
            <v>Barbados Steel Works</v>
          </cell>
        </row>
        <row r="540">
          <cell r="E540" t="str">
            <v>Tile Hut</v>
          </cell>
        </row>
        <row r="541">
          <cell r="E541" t="str">
            <v>Terrific Tiles</v>
          </cell>
        </row>
        <row r="542">
          <cell r="E542" t="str">
            <v>Terrific Tiles</v>
          </cell>
        </row>
        <row r="543">
          <cell r="E543" t="str">
            <v>Carter &amp; Company</v>
          </cell>
        </row>
        <row r="544">
          <cell r="E544" t="str">
            <v>Carter &amp; Company</v>
          </cell>
        </row>
        <row r="545">
          <cell r="E545" t="str">
            <v>Carter &amp; Company</v>
          </cell>
        </row>
        <row r="546">
          <cell r="E546" t="str">
            <v>Marshall's Trading</v>
          </cell>
        </row>
        <row r="547">
          <cell r="E547" t="str">
            <v>KooyMan</v>
          </cell>
        </row>
        <row r="548">
          <cell r="E548" t="str">
            <v>KooyMan</v>
          </cell>
        </row>
        <row r="549">
          <cell r="E549" t="str">
            <v>Carter &amp; Company</v>
          </cell>
        </row>
        <row r="550">
          <cell r="E550" t="str">
            <v>Tile Hut</v>
          </cell>
        </row>
        <row r="551">
          <cell r="E551" t="str">
            <v>KooyMan</v>
          </cell>
        </row>
        <row r="552">
          <cell r="E552" t="str">
            <v>Keystone</v>
          </cell>
        </row>
        <row r="553">
          <cell r="E553" t="str">
            <v>Keystone</v>
          </cell>
        </row>
        <row r="554">
          <cell r="E554" t="str">
            <v>Carter &amp; Company</v>
          </cell>
        </row>
        <row r="555">
          <cell r="E555" t="str">
            <v>Carter &amp; Company</v>
          </cell>
        </row>
        <row r="556">
          <cell r="E556" t="str">
            <v>Carter &amp; Company</v>
          </cell>
        </row>
        <row r="557">
          <cell r="E557" t="str">
            <v>Modern Builders (Marlon)</v>
          </cell>
        </row>
        <row r="558">
          <cell r="E558" t="str">
            <v>Modern Builders (Marlon)</v>
          </cell>
        </row>
        <row r="559">
          <cell r="E559" t="str">
            <v>Modern Builders (Marlon)</v>
          </cell>
        </row>
        <row r="560">
          <cell r="E560" t="str">
            <v>Modern Builders (Marlon)</v>
          </cell>
        </row>
        <row r="561">
          <cell r="E561" t="str">
            <v>Carter &amp; Company</v>
          </cell>
        </row>
        <row r="562">
          <cell r="E562" t="str">
            <v>Carter &amp; Company</v>
          </cell>
        </row>
        <row r="563">
          <cell r="E563" t="str">
            <v>Carter &amp; Company</v>
          </cell>
        </row>
        <row r="564">
          <cell r="E564" t="str">
            <v>Carter &amp; Company</v>
          </cell>
        </row>
        <row r="565">
          <cell r="E565" t="str">
            <v>Carter &amp; Company</v>
          </cell>
        </row>
        <row r="566">
          <cell r="E566" t="str">
            <v>Carter &amp; Company</v>
          </cell>
        </row>
        <row r="567">
          <cell r="E567" t="str">
            <v>Rayside Construction Ltd</v>
          </cell>
        </row>
        <row r="568">
          <cell r="E568" t="str">
            <v>Rayside Construction Ltd</v>
          </cell>
        </row>
        <row r="569">
          <cell r="E569" t="str">
            <v>BL&amp;P</v>
          </cell>
        </row>
        <row r="570">
          <cell r="E570" t="str">
            <v>BWA</v>
          </cell>
        </row>
        <row r="571">
          <cell r="E571" t="str">
            <v>Greens's Exterminating &amp; Fencing</v>
          </cell>
        </row>
        <row r="572">
          <cell r="E572" t="str">
            <v>Williams Equiptment</v>
          </cell>
        </row>
        <row r="573">
          <cell r="E573" t="str">
            <v>Carter &amp; Company</v>
          </cell>
        </row>
        <row r="574">
          <cell r="E574" t="str">
            <v>DAJ Manufacturing</v>
          </cell>
        </row>
        <row r="575">
          <cell r="E575" t="str">
            <v>Rayside Construction Ltd</v>
          </cell>
        </row>
        <row r="576">
          <cell r="E576" t="str">
            <v>Carter &amp; Company</v>
          </cell>
        </row>
        <row r="577">
          <cell r="E577" t="str">
            <v>Carter &amp; Company</v>
          </cell>
        </row>
        <row r="578">
          <cell r="E578" t="str">
            <v>Carter &amp; Company</v>
          </cell>
        </row>
        <row r="579">
          <cell r="E579" t="str">
            <v>Carter &amp; Company</v>
          </cell>
        </row>
        <row r="580">
          <cell r="E580" t="str">
            <v>Carter &amp; Company</v>
          </cell>
        </row>
        <row r="581">
          <cell r="E581" t="str">
            <v>Williams Equiptment</v>
          </cell>
        </row>
        <row r="582">
          <cell r="E582" t="str">
            <v>Marcia Rogers</v>
          </cell>
        </row>
        <row r="583">
          <cell r="E583" t="str">
            <v>Desmond</v>
          </cell>
        </row>
        <row r="584">
          <cell r="E584" t="str">
            <v>Infra Rentals</v>
          </cell>
        </row>
        <row r="585">
          <cell r="E585" t="str">
            <v>Carter &amp; Company</v>
          </cell>
        </row>
        <row r="586">
          <cell r="E586" t="str">
            <v>Carter &amp; Company</v>
          </cell>
        </row>
        <row r="587">
          <cell r="E587" t="str">
            <v>Marlon</v>
          </cell>
        </row>
        <row r="588">
          <cell r="E588" t="str">
            <v>Marshall's Trading</v>
          </cell>
        </row>
        <row r="589">
          <cell r="E589" t="str">
            <v>Carter &amp; Company</v>
          </cell>
        </row>
        <row r="590">
          <cell r="E590" t="str">
            <v>Ian Wiltshire</v>
          </cell>
        </row>
        <row r="591">
          <cell r="E591" t="str">
            <v>Ian Wiltshire</v>
          </cell>
        </row>
        <row r="592">
          <cell r="E592" t="str">
            <v>Modern Builders (Marlon)</v>
          </cell>
        </row>
        <row r="593">
          <cell r="E593" t="str">
            <v>Modern Builders (Marlon)</v>
          </cell>
        </row>
        <row r="594">
          <cell r="E594" t="str">
            <v>Modern Builders (Marlon)</v>
          </cell>
        </row>
        <row r="595">
          <cell r="E595" t="str">
            <v>Xclusive Products Inc.</v>
          </cell>
        </row>
        <row r="596">
          <cell r="E596" t="str">
            <v>Carter &amp; Company</v>
          </cell>
        </row>
        <row r="597">
          <cell r="E597" t="str">
            <v>Tile Hut</v>
          </cell>
        </row>
        <row r="598">
          <cell r="E598" t="str">
            <v>Tile Hut</v>
          </cell>
        </row>
        <row r="599">
          <cell r="E599" t="str">
            <v>Ready Block</v>
          </cell>
        </row>
        <row r="600">
          <cell r="E600" t="str">
            <v>Carter &amp; Company</v>
          </cell>
        </row>
        <row r="601">
          <cell r="E601" t="str">
            <v>Carter &amp; Company</v>
          </cell>
        </row>
        <row r="602">
          <cell r="E602" t="str">
            <v>Modern Builders (Marlon)</v>
          </cell>
        </row>
        <row r="603">
          <cell r="E603" t="str">
            <v>Marshall's Trading</v>
          </cell>
        </row>
        <row r="604">
          <cell r="E604" t="str">
            <v>Carter &amp; Company</v>
          </cell>
        </row>
        <row r="605">
          <cell r="E605" t="str">
            <v>Carter &amp; Company</v>
          </cell>
        </row>
        <row r="606">
          <cell r="E606" t="str">
            <v>KooyMan</v>
          </cell>
        </row>
        <row r="607">
          <cell r="E607" t="str">
            <v>BL&amp;P</v>
          </cell>
        </row>
        <row r="608">
          <cell r="E608" t="str">
            <v>Brian Hinds</v>
          </cell>
        </row>
        <row r="609">
          <cell r="E609" t="str">
            <v>Modern Builders (Marlon)</v>
          </cell>
        </row>
        <row r="610">
          <cell r="E610" t="str">
            <v>Modern Builders (Marlon)</v>
          </cell>
        </row>
        <row r="611">
          <cell r="E611" t="str">
            <v>Modern Builders (Marlon)</v>
          </cell>
        </row>
        <row r="612">
          <cell r="E612" t="str">
            <v>Modern Builders (Marlon)</v>
          </cell>
        </row>
        <row r="613">
          <cell r="E613" t="str">
            <v>Terrific Tiles</v>
          </cell>
        </row>
        <row r="614">
          <cell r="E614" t="str">
            <v>BWA</v>
          </cell>
        </row>
        <row r="615">
          <cell r="E615" t="str">
            <v>Williams Equiptment</v>
          </cell>
        </row>
        <row r="616">
          <cell r="E616" t="str">
            <v>Barbados Customs</v>
          </cell>
        </row>
        <row r="617">
          <cell r="E617" t="str">
            <v>Skyline Cargo Ltd</v>
          </cell>
        </row>
        <row r="618">
          <cell r="E618" t="str">
            <v>Carter &amp; Company</v>
          </cell>
        </row>
        <row r="619">
          <cell r="E619" t="str">
            <v>Carter &amp; Company</v>
          </cell>
        </row>
        <row r="620">
          <cell r="E620" t="str">
            <v>Carter &amp; Company</v>
          </cell>
        </row>
        <row r="621">
          <cell r="E621" t="str">
            <v>Island Tiles</v>
          </cell>
        </row>
        <row r="622">
          <cell r="E622" t="str">
            <v>Exotic Woods</v>
          </cell>
        </row>
        <row r="623">
          <cell r="E623" t="str">
            <v>Ready Block</v>
          </cell>
        </row>
        <row r="624">
          <cell r="E624" t="str">
            <v>Modern Builders (Marlon)</v>
          </cell>
        </row>
        <row r="625">
          <cell r="E625" t="str">
            <v>Modern Builders (Marlon)</v>
          </cell>
        </row>
        <row r="626">
          <cell r="E626" t="str">
            <v>Modern Builders (Marlon)</v>
          </cell>
        </row>
        <row r="627">
          <cell r="E627" t="str">
            <v>Modern Builders (Marlon)</v>
          </cell>
        </row>
        <row r="628">
          <cell r="E628" t="str">
            <v>Kooyman</v>
          </cell>
        </row>
        <row r="629">
          <cell r="E629" t="str">
            <v>Modern Builders (Marlon)</v>
          </cell>
        </row>
        <row r="630">
          <cell r="E630" t="str">
            <v>Modern Builders (Marlon)</v>
          </cell>
        </row>
        <row r="631">
          <cell r="E631" t="str">
            <v>Modern Builders (Marlon)</v>
          </cell>
        </row>
        <row r="632">
          <cell r="E632" t="str">
            <v>Modern Builders (Marlon)</v>
          </cell>
        </row>
        <row r="633">
          <cell r="E633" t="str">
            <v>Marcia Rogers</v>
          </cell>
        </row>
        <row r="634">
          <cell r="E634" t="str">
            <v>Carter &amp; Company</v>
          </cell>
        </row>
        <row r="635">
          <cell r="E635" t="str">
            <v>Carter &amp; Company</v>
          </cell>
        </row>
        <row r="636">
          <cell r="E636" t="str">
            <v>Ian Wiltshire</v>
          </cell>
        </row>
        <row r="637">
          <cell r="E637" t="str">
            <v>Carter &amp; Company</v>
          </cell>
        </row>
        <row r="638">
          <cell r="E638" t="str">
            <v>Carter &amp; Company</v>
          </cell>
        </row>
        <row r="639">
          <cell r="E639" t="str">
            <v>Carter &amp; Company</v>
          </cell>
        </row>
        <row r="640">
          <cell r="E640" t="str">
            <v>Carter &amp; Company</v>
          </cell>
        </row>
        <row r="641">
          <cell r="E641" t="str">
            <v>Roger Forde</v>
          </cell>
        </row>
        <row r="642">
          <cell r="E642" t="str">
            <v>All Phase Electrical Supplies Inc</v>
          </cell>
        </row>
        <row r="643">
          <cell r="E643" t="str">
            <v>Carter &amp; Company</v>
          </cell>
        </row>
        <row r="644">
          <cell r="E644" t="str">
            <v>Carter &amp; Company</v>
          </cell>
        </row>
        <row r="645">
          <cell r="E645" t="str">
            <v>Desmond</v>
          </cell>
        </row>
        <row r="646">
          <cell r="E646" t="str">
            <v>Desmond</v>
          </cell>
        </row>
        <row r="647">
          <cell r="E647" t="str">
            <v>BL&amp;P</v>
          </cell>
        </row>
        <row r="648">
          <cell r="E648" t="str">
            <v>Tile Hut</v>
          </cell>
        </row>
        <row r="649">
          <cell r="E649" t="str">
            <v>Tile Hut</v>
          </cell>
        </row>
        <row r="650">
          <cell r="E650" t="str">
            <v>Tile Hut</v>
          </cell>
        </row>
      </sheetData>
      <sheetData sheetId="2"/>
      <sheetData sheetId="3"/>
      <sheetData sheetId="4"/>
      <sheetData sheetId="5"/>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21:13:53.913"/>
    </inkml:context>
    <inkml:brush xml:id="br0">
      <inkml:brushProperty name="width" value="0.05" units="cm"/>
      <inkml:brushProperty name="height" value="0.05" units="cm"/>
      <inkml:brushProperty name="color" value="#E71224"/>
    </inkml:brush>
  </inkml:definitions>
  <inkml:trace contextRef="#ctx0" brushRef="#br0">1 0 24575,'0'0'-8191</inkml:trace>
</inkm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B5E19A-385A-4F49-A2C2-5710FDD6EBF3}" name="Table3" displayName="Table3" ref="A8:V793" totalsRowShown="0" headerRowDxfId="43" totalsRowDxfId="42" headerRowBorderDxfId="40" tableBorderDxfId="41">
  <autoFilter ref="A8:V793" xr:uid="{87804D44-C266-4966-9667-9951AE9006CA}"/>
  <tableColumns count="22">
    <tableColumn id="1" xr3:uid="{52825A95-5DCC-498C-BABD-8701D5068956}" name="Date" dataDxfId="38" totalsRowDxfId="39"/>
    <tableColumn id="2" xr3:uid="{F6B5640B-6CB9-422E-9C7D-8FA7F73FDF72}" name="Description"/>
    <tableColumn id="3" xr3:uid="{F41E5D45-B972-4A51-BB0C-DF4995EE7029}" name="Stage" dataDxfId="36" totalsRowDxfId="37"/>
    <tableColumn id="4" xr3:uid="{11CA6302-1262-4DD8-8B7F-8AE5D74BC24D}" name="LC-Stage" dataDxfId="34" totalsRowDxfId="35"/>
    <tableColumn id="5" xr3:uid="{D5DA4E5C-F10A-4B1C-A1FD-5995B5BF1F6D}" name="Supplier"/>
    <tableColumn id="8" xr3:uid="{E52C12B5-8CD3-4AFE-8823-EBF42A202275}" name="Estimate" dataDxfId="32" totalsRowDxfId="33"/>
    <tableColumn id="19" xr3:uid="{2AB9CEA3-8D4A-410A-BEA9-71F769CE77BB}" name="QTY" dataDxfId="30" totalsRowDxfId="31" dataCellStyle="Comma"/>
    <tableColumn id="13" xr3:uid="{D345C95B-B87F-4418-B089-7EB66D2DA4B7}" name="Supplies Cost" dataDxfId="28" totalsRowDxfId="29"/>
    <tableColumn id="14" xr3:uid="{63B6211A-1378-4AD7-B6F9-65CB31682682}" name="Tax/Fees" dataDxfId="26" totalsRowDxfId="27"/>
    <tableColumn id="6" xr3:uid="{F5AFA250-AF2F-4859-B7A0-3DB3EB4E67E9}" name="Cost" dataDxfId="24" totalsRowDxfId="25"/>
    <tableColumn id="7" xr3:uid="{64ED16CC-6C3A-4DB2-AEB4-E757ABE46D32}" name="Invoiced Amt" dataDxfId="22" totalsRowDxfId="23"/>
    <tableColumn id="9" xr3:uid="{8769A69F-7347-4384-887C-256CB91A5A6A}" name="Posted" dataDxfId="20" totalsRowDxfId="21"/>
    <tableColumn id="10" xr3:uid="{2FD6B637-BD6B-4AB3-B792-359F0F3AA226}" name="L/M" dataDxfId="18" totalsRowDxfId="19"/>
    <tableColumn id="11" xr3:uid="{4922F5EA-9D33-4D9A-8868-09D4D0486275}" name="Supervisor" dataDxfId="16" totalsRowDxfId="17"/>
    <tableColumn id="12" xr3:uid="{0F3D5F1D-15F1-4659-8DBE-207BD2FB0780}" name="Invoice #" dataDxfId="14" totalsRowDxfId="15"/>
    <tableColumn id="15" xr3:uid="{68CFD972-7877-44E6-B5D5-164D5194F4EA}" name="Delivery Type" dataDxfId="12" totalsRowDxfId="13"/>
    <tableColumn id="17" xr3:uid="{FB2FBDFD-0809-49AB-91BC-CF394E6B9856}" name="Materials" dataDxfId="10" totalsRowDxfId="11"/>
    <tableColumn id="18" xr3:uid="{9CB1238C-684B-49C4-812D-79947907FEC7}" name="Book #" dataDxfId="8" totalsRowDxfId="9"/>
    <tableColumn id="16" xr3:uid="{69A40412-5995-4376-86BC-51856940057F}" name="Notes" dataDxfId="6" totalsRowDxfId="7"/>
    <tableColumn id="20" xr3:uid="{D6287620-F3A1-4D36-85B7-B26734B04043}" name="Type Description" dataDxfId="4" totalsRowDxfId="5"/>
    <tableColumn id="21" xr3:uid="{C2DF9466-7DE7-4951-933A-2F7821BB7C8F}" name="Type" dataDxfId="2" totalsRowDxfId="3">
      <calculatedColumnFormula>LEFT(Table3[[#This Row],[Stage]],FIND(".",Table3[[#This Row],[Stage]],1)-1)</calculatedColumnFormula>
    </tableColumn>
    <tableColumn id="22" xr3:uid="{A9A82907-2D8D-4D1A-A348-D1E984DD3A84}" name="TypDesc" dataDxfId="0" totalsRowDxfId="1">
      <calculatedColumnFormula>VLOOKUP(ABS(Table3[[#This Row],[Type]]),[1]!Table9[#All],2)</calculatedColumnFormula>
    </tableColumn>
  </tableColumns>
  <tableStyleInfo name="Home construction budget" showFirstColumn="0" showLastColumn="0" showRowStripes="1" showColumnStripes="0"/>
</table>
</file>

<file path=xl/theme/theme1.xml><?xml version="1.0" encoding="utf-8"?>
<a:theme xmlns:a="http://schemas.openxmlformats.org/drawingml/2006/main" name="Office Theme">
  <a:themeElements>
    <a:clrScheme name="Home construction budget">
      <a:dk1>
        <a:srgbClr val="000000"/>
      </a:dk1>
      <a:lt1>
        <a:srgbClr val="FFFFFF"/>
      </a:lt1>
      <a:dk2>
        <a:srgbClr val="3B1D0C"/>
      </a:dk2>
      <a:lt2>
        <a:srgbClr val="E9ECEC"/>
      </a:lt2>
      <a:accent1>
        <a:srgbClr val="586572"/>
      </a:accent1>
      <a:accent2>
        <a:srgbClr val="ED7430"/>
      </a:accent2>
      <a:accent3>
        <a:srgbClr val="F9AC1E"/>
      </a:accent3>
      <a:accent4>
        <a:srgbClr val="62A985"/>
      </a:accent4>
      <a:accent5>
        <a:srgbClr val="D9593C"/>
      </a:accent5>
      <a:accent6>
        <a:srgbClr val="8D6B88"/>
      </a:accent6>
      <a:hlink>
        <a:srgbClr val="62A985"/>
      </a:hlink>
      <a:folHlink>
        <a:srgbClr val="8D6B88"/>
      </a:folHlink>
    </a:clrScheme>
    <a:fontScheme name="Home construction budget">
      <a:majorFont>
        <a:latin typeface="Arial Black"/>
        <a:ea typeface=""/>
        <a:cs typeface=""/>
      </a:majorFont>
      <a:minorFont>
        <a:latin typeface="Times New Roman"/>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3A438-E5C7-40A5-BD7E-BDD5B9DA2A79}">
  <sheetPr codeName="Sheet7">
    <tabColor rgb="FF92D050"/>
  </sheetPr>
  <dimension ref="A1:X793"/>
  <sheetViews>
    <sheetView tabSelected="1" topLeftCell="I761" zoomScale="82" zoomScaleNormal="82" workbookViewId="0">
      <selection activeCell="M1" sqref="M1"/>
    </sheetView>
  </sheetViews>
  <sheetFormatPr defaultColWidth="62" defaultRowHeight="15.4" x14ac:dyDescent="0.45"/>
  <cols>
    <col min="1" max="1" width="9.8125" bestFit="1" customWidth="1"/>
    <col min="2" max="2" width="86.8125" bestFit="1" customWidth="1"/>
    <col min="3" max="3" width="8.3125" bestFit="1" customWidth="1"/>
    <col min="4" max="4" width="13.9375" style="1" bestFit="1" customWidth="1"/>
    <col min="5" max="5" width="34.8125" bestFit="1" customWidth="1"/>
    <col min="6" max="6" width="10.6875" bestFit="1" customWidth="1"/>
    <col min="7" max="7" width="7.9375" style="2" bestFit="1" customWidth="1"/>
    <col min="8" max="8" width="15.1875" bestFit="1" customWidth="1"/>
    <col min="9" max="9" width="11.6875" bestFit="1" customWidth="1"/>
    <col min="10" max="10" width="12.1875" style="3" bestFit="1" customWidth="1"/>
    <col min="11" max="11" width="16.6875" style="4" bestFit="1" customWidth="1"/>
    <col min="12" max="12" width="13.4375" style="1" bestFit="1" customWidth="1"/>
    <col min="13" max="13" width="12.3125" bestFit="1" customWidth="1"/>
    <col min="14" max="14" width="17.9375" bestFit="1" customWidth="1"/>
    <col min="15" max="15" width="17.375" bestFit="1" customWidth="1"/>
    <col min="16" max="16" width="17.5625" bestFit="1" customWidth="1"/>
    <col min="17" max="17" width="14.0625" bestFit="1" customWidth="1"/>
    <col min="18" max="18" width="11.9375" bestFit="1" customWidth="1"/>
    <col min="19" max="19" width="26.9375" bestFit="1" customWidth="1"/>
    <col min="20" max="20" width="27.9375" bestFit="1" customWidth="1"/>
    <col min="21" max="21" width="9" bestFit="1" customWidth="1"/>
    <col min="22" max="22" width="13.1875" bestFit="1" customWidth="1"/>
    <col min="23" max="23" width="11.125" customWidth="1"/>
    <col min="24" max="24" width="61.875" bestFit="1" customWidth="1"/>
  </cols>
  <sheetData>
    <row r="1" spans="1:24" x14ac:dyDescent="0.45">
      <c r="L1" s="1" t="s">
        <v>0</v>
      </c>
      <c r="M1" s="5">
        <v>49266.8</v>
      </c>
    </row>
    <row r="2" spans="1:24" x14ac:dyDescent="0.45">
      <c r="L2" s="1" t="s">
        <v>1</v>
      </c>
      <c r="M2" s="6">
        <f>SUMIFS($J$9:$J$1009,$M$9:$M$1009,"X")</f>
        <v>904031.95</v>
      </c>
    </row>
    <row r="3" spans="1:24" x14ac:dyDescent="0.45">
      <c r="L3" s="1" t="s">
        <v>2</v>
      </c>
      <c r="M3" s="5">
        <f>-SUMIFS($J$9:$J$936,$M$9:$M$936,"U")</f>
        <v>-53449.210000000021</v>
      </c>
    </row>
    <row r="4" spans="1:24" ht="24" customHeight="1" x14ac:dyDescent="0.45">
      <c r="I4" t="s">
        <v>3</v>
      </c>
      <c r="L4" s="1" t="s">
        <v>4</v>
      </c>
      <c r="M4" s="5">
        <f>-SUMIFS($J$9:$J$936,$M$9:$M$936,"L")</f>
        <v>-491014.5</v>
      </c>
      <c r="X4" s="7" t="s">
        <v>5</v>
      </c>
    </row>
    <row r="5" spans="1:24" ht="15.75" thickBot="1" x14ac:dyDescent="0.5">
      <c r="I5" s="8">
        <v>0.17499999999999999</v>
      </c>
      <c r="L5" s="1" t="s">
        <v>6</v>
      </c>
      <c r="M5" s="5">
        <f>-SUMIFS($J$9:$J$936,$M$9:$M$936,"M")</f>
        <v>-545752.24524999992</v>
      </c>
      <c r="X5" s="7"/>
    </row>
    <row r="6" spans="1:24" ht="15.75" thickBot="1" x14ac:dyDescent="0.5">
      <c r="F6" s="9"/>
      <c r="G6" s="10"/>
      <c r="H6" s="9"/>
      <c r="I6" s="11">
        <v>-3.1515900000000001E-3</v>
      </c>
      <c r="J6" s="12">
        <f>SUBTOTAL(9,J9:J892)</f>
        <v>1994247.9052499989</v>
      </c>
      <c r="K6" s="4" t="s">
        <v>7</v>
      </c>
      <c r="L6" s="13" t="s">
        <v>8</v>
      </c>
      <c r="M6" s="14">
        <f>SUM(M1:M5)</f>
        <v>-136917.20524999988</v>
      </c>
      <c r="N6" s="15">
        <f>[1]BimFunds!I52-'Const Actual'!M6</f>
        <v>205705.01524999988</v>
      </c>
      <c r="T6">
        <v>3805.71</v>
      </c>
      <c r="X6" s="7"/>
    </row>
    <row r="7" spans="1:24" x14ac:dyDescent="0.45">
      <c r="H7" s="9" t="s">
        <v>3</v>
      </c>
      <c r="I7">
        <v>0.175000197072294</v>
      </c>
      <c r="S7">
        <v>666</v>
      </c>
      <c r="T7" s="16">
        <f>S7/T6</f>
        <v>0.175000197072294</v>
      </c>
      <c r="X7" s="7"/>
    </row>
    <row r="8" spans="1:24" x14ac:dyDescent="0.45">
      <c r="A8" s="17" t="s">
        <v>9</v>
      </c>
      <c r="B8" s="18" t="s">
        <v>10</v>
      </c>
      <c r="C8" s="18" t="s">
        <v>11</v>
      </c>
      <c r="D8" s="19" t="s">
        <v>12</v>
      </c>
      <c r="E8" s="18" t="s">
        <v>13</v>
      </c>
      <c r="F8" s="18" t="s">
        <v>14</v>
      </c>
      <c r="G8" s="20" t="s">
        <v>15</v>
      </c>
      <c r="H8" s="18" t="s">
        <v>16</v>
      </c>
      <c r="I8" s="18" t="s">
        <v>17</v>
      </c>
      <c r="J8" s="21" t="s">
        <v>18</v>
      </c>
      <c r="K8" s="19" t="s">
        <v>19</v>
      </c>
      <c r="L8" s="22" t="s">
        <v>20</v>
      </c>
      <c r="M8" s="19" t="s">
        <v>21</v>
      </c>
      <c r="N8" s="19" t="s">
        <v>22</v>
      </c>
      <c r="O8" s="19" t="s">
        <v>23</v>
      </c>
      <c r="P8" s="19" t="s">
        <v>24</v>
      </c>
      <c r="Q8" s="19" t="s">
        <v>6</v>
      </c>
      <c r="R8" s="19" t="s">
        <v>25</v>
      </c>
      <c r="S8" s="18" t="s">
        <v>26</v>
      </c>
      <c r="T8" s="18" t="s">
        <v>27</v>
      </c>
      <c r="U8" s="18" t="s">
        <v>28</v>
      </c>
      <c r="V8" s="23" t="s">
        <v>29</v>
      </c>
    </row>
    <row r="9" spans="1:24" x14ac:dyDescent="0.45">
      <c r="A9" s="24">
        <v>43765</v>
      </c>
      <c r="B9" s="25" t="s">
        <v>30</v>
      </c>
      <c r="C9" s="26">
        <v>2.5499999999999998</v>
      </c>
      <c r="D9" s="27" t="s">
        <v>31</v>
      </c>
      <c r="E9" s="25" t="s">
        <v>32</v>
      </c>
      <c r="F9" s="28"/>
      <c r="G9" s="29">
        <v>1</v>
      </c>
      <c r="H9" s="28">
        <v>72</v>
      </c>
      <c r="I9" s="28"/>
      <c r="J9" s="30">
        <f>(Table3[[#This Row],[QTY]]*Table3[[#This Row],[Supplies Cost]])+Table3[[#This Row],[Tax/Fees]]</f>
        <v>72</v>
      </c>
      <c r="K9" s="31"/>
      <c r="L9" s="1" t="s">
        <v>33</v>
      </c>
      <c r="M9" s="31" t="s">
        <v>34</v>
      </c>
      <c r="N9" s="31"/>
      <c r="O9" s="31"/>
      <c r="P9" s="31"/>
      <c r="Q9" s="32"/>
      <c r="R9" s="32"/>
      <c r="S9" s="32"/>
      <c r="T9" s="32" t="s">
        <v>35</v>
      </c>
      <c r="U9" s="32" t="str">
        <f>LEFT(Table3[[#This Row],[Stage]],FIND(".",Table3[[#This Row],[Stage]],1)-1)</f>
        <v>2</v>
      </c>
      <c r="V9" s="32" t="str">
        <f>VLOOKUP(ABS(Table3[[#This Row],[Type]]),[1]!Table9[#All],2)</f>
        <v>Architectual</v>
      </c>
    </row>
    <row r="10" spans="1:24" x14ac:dyDescent="0.45">
      <c r="A10" s="24">
        <v>43765</v>
      </c>
      <c r="B10" s="25" t="s">
        <v>36</v>
      </c>
      <c r="C10" s="26">
        <v>2.7</v>
      </c>
      <c r="D10" s="27" t="s">
        <v>31</v>
      </c>
      <c r="E10" s="25" t="s">
        <v>32</v>
      </c>
      <c r="F10" s="28"/>
      <c r="G10" s="29">
        <v>1</v>
      </c>
      <c r="H10" s="28">
        <v>4926</v>
      </c>
      <c r="I10" s="28"/>
      <c r="J10" s="30">
        <f>(Table3[[#This Row],[QTY]]*Table3[[#This Row],[Supplies Cost]])+Table3[[#This Row],[Tax/Fees]]</f>
        <v>4926</v>
      </c>
      <c r="K10" s="31"/>
      <c r="L10" s="33" t="s">
        <v>33</v>
      </c>
      <c r="M10" s="31" t="s">
        <v>34</v>
      </c>
      <c r="N10" s="31"/>
      <c r="O10" s="31"/>
      <c r="P10" s="31"/>
      <c r="Q10" s="31"/>
      <c r="R10" s="31"/>
      <c r="S10" s="31"/>
      <c r="T10" s="31" t="s">
        <v>35</v>
      </c>
      <c r="U10" s="32" t="str">
        <f>LEFT(Table3[[#This Row],[Stage]],FIND(".",Table3[[#This Row],[Stage]],1)-1)</f>
        <v>2</v>
      </c>
      <c r="V10" s="31" t="str">
        <f>VLOOKUP(ABS(Table3[[#This Row],[Type]]),[1]!Table9[#All],2)</f>
        <v>Architectual</v>
      </c>
    </row>
    <row r="11" spans="1:24" x14ac:dyDescent="0.45">
      <c r="A11" s="24">
        <v>43765</v>
      </c>
      <c r="B11" s="25" t="s">
        <v>37</v>
      </c>
      <c r="C11" s="26">
        <v>2.95</v>
      </c>
      <c r="D11" s="27" t="s">
        <v>31</v>
      </c>
      <c r="E11" s="25" t="s">
        <v>32</v>
      </c>
      <c r="F11" s="28"/>
      <c r="G11" s="29">
        <v>1</v>
      </c>
      <c r="H11" s="28">
        <v>925</v>
      </c>
      <c r="I11" s="28"/>
      <c r="J11" s="30">
        <f>(Table3[[#This Row],[QTY]]*Table3[[#This Row],[Supplies Cost]])+Table3[[#This Row],[Tax/Fees]]</f>
        <v>925</v>
      </c>
      <c r="K11" s="31"/>
      <c r="L11" s="33" t="s">
        <v>33</v>
      </c>
      <c r="M11" s="31" t="s">
        <v>34</v>
      </c>
      <c r="N11" s="31"/>
      <c r="O11" s="31"/>
      <c r="P11" s="31"/>
      <c r="Q11" s="31"/>
      <c r="R11" s="31"/>
      <c r="S11" s="31"/>
      <c r="T11" s="31" t="s">
        <v>35</v>
      </c>
      <c r="U11" s="32" t="str">
        <f>LEFT(Table3[[#This Row],[Stage]],FIND(".",Table3[[#This Row],[Stage]],1)-1)</f>
        <v>2</v>
      </c>
      <c r="V11" s="31" t="str">
        <f>VLOOKUP(ABS(Table3[[#This Row],[Type]]),[1]!Table9[#All],2)</f>
        <v>Architectual</v>
      </c>
    </row>
    <row r="12" spans="1:24" x14ac:dyDescent="0.45">
      <c r="A12" s="24">
        <v>44013</v>
      </c>
      <c r="B12" s="25" t="s">
        <v>38</v>
      </c>
      <c r="C12" s="34">
        <v>2.95</v>
      </c>
      <c r="D12" s="27" t="s">
        <v>31</v>
      </c>
      <c r="E12" s="25" t="s">
        <v>39</v>
      </c>
      <c r="F12" s="28"/>
      <c r="G12" s="29">
        <v>1</v>
      </c>
      <c r="H12" s="28">
        <v>5600</v>
      </c>
      <c r="I12" s="28"/>
      <c r="J12" s="30">
        <f>(Table3[[#This Row],[QTY]]*Table3[[#This Row],[Supplies Cost]])+Table3[[#This Row],[Tax/Fees]]</f>
        <v>5600</v>
      </c>
      <c r="K12" s="31"/>
      <c r="L12" s="33" t="s">
        <v>33</v>
      </c>
      <c r="M12" s="31" t="s">
        <v>34</v>
      </c>
      <c r="N12" s="31"/>
      <c r="O12" s="31"/>
      <c r="P12" s="31"/>
      <c r="Q12" s="31"/>
      <c r="R12" s="31"/>
      <c r="S12" s="31"/>
      <c r="T12" s="31" t="s">
        <v>40</v>
      </c>
      <c r="U12" s="32" t="str">
        <f>LEFT(Table3[[#This Row],[Stage]],FIND(".",Table3[[#This Row],[Stage]],1)-1)</f>
        <v>2</v>
      </c>
      <c r="V12" s="31" t="str">
        <f>VLOOKUP(ABS(Table3[[#This Row],[Type]]),[1]!Table9[#All],2)</f>
        <v>Architectual</v>
      </c>
    </row>
    <row r="13" spans="1:24" x14ac:dyDescent="0.45">
      <c r="A13" s="24">
        <v>44031</v>
      </c>
      <c r="B13" s="25" t="s">
        <v>41</v>
      </c>
      <c r="C13" s="34">
        <v>2.9</v>
      </c>
      <c r="D13" s="27" t="s">
        <v>31</v>
      </c>
      <c r="E13" s="25" t="s">
        <v>32</v>
      </c>
      <c r="F13" s="28"/>
      <c r="G13" s="29">
        <v>1</v>
      </c>
      <c r="H13" s="28">
        <v>5226</v>
      </c>
      <c r="I13" s="28"/>
      <c r="J13" s="30">
        <f>(Table3[[#This Row],[QTY]]*Table3[[#This Row],[Supplies Cost]])+Table3[[#This Row],[Tax/Fees]]</f>
        <v>5226</v>
      </c>
      <c r="K13" s="31"/>
      <c r="L13" s="33" t="s">
        <v>33</v>
      </c>
      <c r="M13" s="31" t="s">
        <v>34</v>
      </c>
      <c r="N13" s="31"/>
      <c r="O13" s="31"/>
      <c r="P13" s="31"/>
      <c r="Q13" s="31"/>
      <c r="R13" s="31"/>
      <c r="S13" s="31"/>
      <c r="T13" s="31" t="s">
        <v>35</v>
      </c>
      <c r="U13" s="32" t="str">
        <f>LEFT(Table3[[#This Row],[Stage]],FIND(".",Table3[[#This Row],[Stage]],1)-1)</f>
        <v>2</v>
      </c>
      <c r="V13" s="31" t="str">
        <f>VLOOKUP(ABS(Table3[[#This Row],[Type]]),[1]!Table9[#All],2)</f>
        <v>Architectual</v>
      </c>
    </row>
    <row r="14" spans="1:24" x14ac:dyDescent="0.45">
      <c r="A14" s="24">
        <v>44093</v>
      </c>
      <c r="B14" s="25" t="s">
        <v>42</v>
      </c>
      <c r="C14" s="26">
        <v>2.4500000000000002</v>
      </c>
      <c r="D14" s="27" t="s">
        <v>31</v>
      </c>
      <c r="E14" s="25" t="s">
        <v>32</v>
      </c>
      <c r="F14" s="28"/>
      <c r="G14" s="29">
        <v>1</v>
      </c>
      <c r="H14" s="28">
        <v>4926</v>
      </c>
      <c r="I14" s="28"/>
      <c r="J14" s="30">
        <f>(Table3[[#This Row],[QTY]]*Table3[[#This Row],[Supplies Cost]])+Table3[[#This Row],[Tax/Fees]]</f>
        <v>4926</v>
      </c>
      <c r="K14" s="31"/>
      <c r="L14" s="33" t="s">
        <v>33</v>
      </c>
      <c r="M14" s="31" t="s">
        <v>34</v>
      </c>
      <c r="N14" s="31"/>
      <c r="O14" s="31"/>
      <c r="P14" s="31"/>
      <c r="Q14" s="31"/>
      <c r="R14" s="31"/>
      <c r="S14" s="31"/>
      <c r="T14" s="31" t="s">
        <v>35</v>
      </c>
      <c r="U14" s="32" t="str">
        <f>LEFT(Table3[[#This Row],[Stage]],FIND(".",Table3[[#This Row],[Stage]],1)-1)</f>
        <v>2</v>
      </c>
      <c r="V14" s="31" t="str">
        <f>VLOOKUP(ABS(Table3[[#This Row],[Type]]),[1]!Table9[#All],2)</f>
        <v>Architectual</v>
      </c>
    </row>
    <row r="15" spans="1:24" x14ac:dyDescent="0.45">
      <c r="A15" s="24">
        <v>44093</v>
      </c>
      <c r="B15" s="25" t="s">
        <v>43</v>
      </c>
      <c r="C15" s="26">
        <v>2.5</v>
      </c>
      <c r="D15" s="27" t="s">
        <v>31</v>
      </c>
      <c r="E15" s="25" t="s">
        <v>32</v>
      </c>
      <c r="F15" s="28"/>
      <c r="G15" s="29">
        <v>1</v>
      </c>
      <c r="H15" s="28">
        <v>400</v>
      </c>
      <c r="I15" s="28"/>
      <c r="J15" s="30">
        <f>(Table3[[#This Row],[QTY]]*Table3[[#This Row],[Supplies Cost]])+Table3[[#This Row],[Tax/Fees]]</f>
        <v>400</v>
      </c>
      <c r="K15" s="31"/>
      <c r="L15" s="33" t="s">
        <v>33</v>
      </c>
      <c r="M15" s="31" t="s">
        <v>34</v>
      </c>
      <c r="N15" s="31"/>
      <c r="O15" s="31"/>
      <c r="P15" s="31"/>
      <c r="Q15" s="31"/>
      <c r="R15" s="31"/>
      <c r="S15" s="31"/>
      <c r="T15" s="31" t="s">
        <v>35</v>
      </c>
      <c r="U15" s="32" t="str">
        <f>LEFT(Table3[[#This Row],[Stage]],FIND(".",Table3[[#This Row],[Stage]],1)-1)</f>
        <v>2</v>
      </c>
      <c r="V15" s="31" t="str">
        <f>VLOOKUP(ABS(Table3[[#This Row],[Type]]),[1]!Table9[#All],2)</f>
        <v>Architectual</v>
      </c>
    </row>
    <row r="16" spans="1:24" x14ac:dyDescent="0.45">
      <c r="A16" s="24">
        <v>44160</v>
      </c>
      <c r="B16" s="35" t="s">
        <v>44</v>
      </c>
      <c r="C16" s="34">
        <v>10.050000000000001</v>
      </c>
      <c r="D16" s="27" t="s">
        <v>45</v>
      </c>
      <c r="E16" s="25" t="s">
        <v>46</v>
      </c>
      <c r="F16" s="28"/>
      <c r="G16" s="29">
        <v>1</v>
      </c>
      <c r="H16" s="30">
        <v>400</v>
      </c>
      <c r="I16" s="28"/>
      <c r="J16" s="30">
        <f>(Table3[[#This Row],[QTY]]*Table3[[#This Row],[Supplies Cost]])+Table3[[#This Row],[Tax/Fees]]</f>
        <v>400</v>
      </c>
      <c r="K16" s="31"/>
      <c r="L16" s="1" t="s">
        <v>33</v>
      </c>
      <c r="M16" s="31" t="s">
        <v>47</v>
      </c>
      <c r="N16" s="31" t="s">
        <v>48</v>
      </c>
      <c r="O16" s="31"/>
      <c r="P16" s="31" t="s">
        <v>49</v>
      </c>
      <c r="Q16" s="31"/>
      <c r="R16" s="31"/>
      <c r="S16" s="31"/>
      <c r="T16" s="31" t="s">
        <v>50</v>
      </c>
      <c r="U16" s="32" t="str">
        <f>LEFT(Table3[[#This Row],[Stage]],FIND(".",Table3[[#This Row],[Stage]],1)-1)</f>
        <v>10</v>
      </c>
      <c r="V16" s="36" t="str">
        <f>VLOOKUP(ABS(Table3[[#This Row],[Type]]),[1]!Table9[#All],2)</f>
        <v>Plumbing</v>
      </c>
    </row>
    <row r="17" spans="1:22" x14ac:dyDescent="0.45">
      <c r="A17" s="24">
        <v>44177</v>
      </c>
      <c r="B17" s="25" t="s">
        <v>51</v>
      </c>
      <c r="C17" s="34">
        <v>13.05</v>
      </c>
      <c r="D17" s="27" t="s">
        <v>45</v>
      </c>
      <c r="E17" s="25" t="s">
        <v>52</v>
      </c>
      <c r="F17" s="28"/>
      <c r="G17" s="29">
        <v>1</v>
      </c>
      <c r="H17" s="30">
        <v>85.49</v>
      </c>
      <c r="I17" s="28"/>
      <c r="J17" s="30">
        <f>(Table3[[#This Row],[QTY]]*Table3[[#This Row],[Supplies Cost]])+Table3[[#This Row],[Tax/Fees]]</f>
        <v>85.49</v>
      </c>
      <c r="K17" s="31" t="s">
        <v>33</v>
      </c>
      <c r="L17" s="1" t="s">
        <v>33</v>
      </c>
      <c r="M17" s="31" t="s">
        <v>47</v>
      </c>
      <c r="N17" s="31" t="s">
        <v>48</v>
      </c>
      <c r="O17" s="31"/>
      <c r="P17" s="31" t="s">
        <v>49</v>
      </c>
      <c r="Q17" s="31"/>
      <c r="R17" s="31"/>
      <c r="S17" s="31"/>
      <c r="T17" s="31" t="s">
        <v>53</v>
      </c>
      <c r="U17" s="32" t="str">
        <f>LEFT(Table3[[#This Row],[Stage]],FIND(".",Table3[[#This Row],[Stage]],1)-1)</f>
        <v>13</v>
      </c>
      <c r="V17" s="36" t="str">
        <f>VLOOKUP(ABS(Table3[[#This Row],[Type]]),[1]!Table9[#All],2)</f>
        <v>Electrical</v>
      </c>
    </row>
    <row r="18" spans="1:22" x14ac:dyDescent="0.45">
      <c r="A18" s="24">
        <v>44184</v>
      </c>
      <c r="B18" s="25" t="s">
        <v>54</v>
      </c>
      <c r="C18" s="34">
        <v>5.05</v>
      </c>
      <c r="D18" s="27" t="s">
        <v>45</v>
      </c>
      <c r="E18" s="25" t="s">
        <v>55</v>
      </c>
      <c r="F18" s="28"/>
      <c r="G18" s="29">
        <v>1</v>
      </c>
      <c r="H18" s="37">
        <v>900</v>
      </c>
      <c r="I18" s="28"/>
      <c r="J18" s="30">
        <f>(Table3[[#This Row],[QTY]]*Table3[[#This Row],[Supplies Cost]])+Table3[[#This Row],[Tax/Fees]]</f>
        <v>900</v>
      </c>
      <c r="K18" s="31"/>
      <c r="L18" s="1" t="s">
        <v>33</v>
      </c>
      <c r="M18" s="31" t="s">
        <v>34</v>
      </c>
      <c r="N18" s="31" t="s">
        <v>48</v>
      </c>
      <c r="O18" s="31"/>
      <c r="P18" s="31" t="s">
        <v>49</v>
      </c>
      <c r="Q18" s="31"/>
      <c r="R18" s="31"/>
      <c r="S18" s="31"/>
      <c r="T18" s="31" t="s">
        <v>56</v>
      </c>
      <c r="U18" s="32" t="str">
        <f>LEFT(Table3[[#This Row],[Stage]],FIND(".",Table3[[#This Row],[Stage]],1)-1)</f>
        <v>5</v>
      </c>
      <c r="V18" s="36" t="str">
        <f>VLOOKUP(ABS(Table3[[#This Row],[Type]]),[1]!Table9[#All],2)</f>
        <v>Earthworks</v>
      </c>
    </row>
    <row r="19" spans="1:22" x14ac:dyDescent="0.45">
      <c r="A19" s="24">
        <v>44184</v>
      </c>
      <c r="B19" s="25" t="s">
        <v>57</v>
      </c>
      <c r="C19" s="34">
        <v>13.05</v>
      </c>
      <c r="D19" s="27" t="s">
        <v>45</v>
      </c>
      <c r="E19" s="25" t="s">
        <v>52</v>
      </c>
      <c r="F19" s="28"/>
      <c r="G19" s="29">
        <v>1</v>
      </c>
      <c r="H19" s="30">
        <v>81.650000000000006</v>
      </c>
      <c r="I19" s="28"/>
      <c r="J19" s="30">
        <f>(Table3[[#This Row],[QTY]]*Table3[[#This Row],[Supplies Cost]])+Table3[[#This Row],[Tax/Fees]]</f>
        <v>81.650000000000006</v>
      </c>
      <c r="K19" s="31"/>
      <c r="L19" s="1" t="s">
        <v>33</v>
      </c>
      <c r="M19" s="31" t="s">
        <v>47</v>
      </c>
      <c r="N19" s="31" t="s">
        <v>48</v>
      </c>
      <c r="O19" s="31"/>
      <c r="P19" s="31" t="s">
        <v>49</v>
      </c>
      <c r="Q19" s="31"/>
      <c r="R19" s="31"/>
      <c r="S19" s="31"/>
      <c r="T19" s="31" t="s">
        <v>53</v>
      </c>
      <c r="U19" s="32" t="str">
        <f>LEFT(Table3[[#This Row],[Stage]],FIND(".",Table3[[#This Row],[Stage]],1)-1)</f>
        <v>13</v>
      </c>
      <c r="V19" s="36" t="str">
        <f>VLOOKUP(ABS(Table3[[#This Row],[Type]]),[1]!Table9[#All],2)</f>
        <v>Electrical</v>
      </c>
    </row>
    <row r="20" spans="1:22" x14ac:dyDescent="0.45">
      <c r="A20" s="24">
        <v>44184</v>
      </c>
      <c r="B20" s="38" t="s">
        <v>58</v>
      </c>
      <c r="C20" s="34">
        <v>8.01</v>
      </c>
      <c r="D20" s="27" t="s">
        <v>45</v>
      </c>
      <c r="E20" s="25" t="s">
        <v>59</v>
      </c>
      <c r="F20" s="28"/>
      <c r="G20" s="29">
        <v>1</v>
      </c>
      <c r="H20" s="30">
        <v>8.5</v>
      </c>
      <c r="I20" s="28"/>
      <c r="J20" s="30">
        <f>(Table3[[#This Row],[QTY]]*Table3[[#This Row],[Supplies Cost]])+Table3[[#This Row],[Tax/Fees]]</f>
        <v>8.5</v>
      </c>
      <c r="K20" s="31"/>
      <c r="L20" s="1" t="s">
        <v>33</v>
      </c>
      <c r="M20" s="31" t="s">
        <v>47</v>
      </c>
      <c r="N20" s="31" t="s">
        <v>52</v>
      </c>
      <c r="O20" s="31"/>
      <c r="P20" s="31"/>
      <c r="Q20" s="31"/>
      <c r="R20" s="31"/>
      <c r="S20" s="31"/>
      <c r="T20" s="31" t="s">
        <v>60</v>
      </c>
      <c r="U20" s="32" t="str">
        <f>LEFT(Table3[[#This Row],[Stage]],FIND(".",Table3[[#This Row],[Stage]],1)-1)</f>
        <v>8</v>
      </c>
      <c r="V20" s="36" t="str">
        <f>VLOOKUP(ABS(Table3[[#This Row],[Type]]),[1]!Table9[#All],2)</f>
        <v>Administrative</v>
      </c>
    </row>
    <row r="21" spans="1:22" x14ac:dyDescent="0.45">
      <c r="A21" s="24">
        <v>44186</v>
      </c>
      <c r="B21" t="s">
        <v>61</v>
      </c>
      <c r="C21" s="34">
        <v>5.25</v>
      </c>
      <c r="D21" s="27" t="s">
        <v>45</v>
      </c>
      <c r="E21" t="s">
        <v>32</v>
      </c>
      <c r="F21" s="28"/>
      <c r="G21" s="29">
        <v>1</v>
      </c>
      <c r="H21" s="37">
        <v>288</v>
      </c>
      <c r="I21" s="28"/>
      <c r="J21" s="30">
        <f>(Table3[[#This Row],[QTY]]*Table3[[#This Row],[Supplies Cost]])+Table3[[#This Row],[Tax/Fees]]</f>
        <v>288</v>
      </c>
      <c r="K21" s="31"/>
      <c r="L21" s="1" t="s">
        <v>33</v>
      </c>
      <c r="M21" s="31" t="s">
        <v>34</v>
      </c>
      <c r="N21" s="31" t="s">
        <v>48</v>
      </c>
      <c r="O21" s="31"/>
      <c r="P21" s="31" t="s">
        <v>49</v>
      </c>
      <c r="Q21" s="31"/>
      <c r="R21" s="31"/>
      <c r="S21" s="31"/>
      <c r="T21" s="31" t="s">
        <v>62</v>
      </c>
      <c r="U21" s="32" t="str">
        <f>LEFT(Table3[[#This Row],[Stage]],FIND(".",Table3[[#This Row],[Stage]],1)-1)</f>
        <v>5</v>
      </c>
      <c r="V21" s="36" t="str">
        <f>VLOOKUP(ABS(Table3[[#This Row],[Type]]),[1]!Table9[#All],2)</f>
        <v>Earthworks</v>
      </c>
    </row>
    <row r="22" spans="1:22" x14ac:dyDescent="0.45">
      <c r="A22" s="24">
        <v>44187</v>
      </c>
      <c r="B22" s="25" t="s">
        <v>63</v>
      </c>
      <c r="C22" s="34">
        <v>5.0999999999999996</v>
      </c>
      <c r="D22" s="27" t="s">
        <v>45</v>
      </c>
      <c r="E22" s="25" t="s">
        <v>64</v>
      </c>
      <c r="F22" s="28"/>
      <c r="G22" s="29">
        <v>1</v>
      </c>
      <c r="H22" s="37">
        <v>850</v>
      </c>
      <c r="I22" s="28"/>
      <c r="J22" s="30">
        <f>(Table3[[#This Row],[QTY]]*Table3[[#This Row],[Supplies Cost]])+Table3[[#This Row],[Tax/Fees]]</f>
        <v>850</v>
      </c>
      <c r="K22" s="31"/>
      <c r="L22" s="1" t="s">
        <v>33</v>
      </c>
      <c r="M22" s="31" t="s">
        <v>34</v>
      </c>
      <c r="N22" s="31" t="s">
        <v>65</v>
      </c>
      <c r="O22" s="31"/>
      <c r="P22" s="31"/>
      <c r="Q22" s="31"/>
      <c r="R22" s="31"/>
      <c r="S22" s="31"/>
      <c r="T22" s="31" t="s">
        <v>56</v>
      </c>
      <c r="U22" s="32" t="str">
        <f>LEFT(Table3[[#This Row],[Stage]],FIND(".",Table3[[#This Row],[Stage]],1)-1)</f>
        <v>5</v>
      </c>
      <c r="V22" s="36" t="str">
        <f>VLOOKUP(ABS(Table3[[#This Row],[Type]]),[1]!Table9[#All],2)</f>
        <v>Earthworks</v>
      </c>
    </row>
    <row r="23" spans="1:22" x14ac:dyDescent="0.45">
      <c r="A23" s="24">
        <v>44193</v>
      </c>
      <c r="B23" s="25" t="s">
        <v>66</v>
      </c>
      <c r="C23" s="34">
        <v>13.05</v>
      </c>
      <c r="D23" s="27" t="s">
        <v>45</v>
      </c>
      <c r="E23" s="25" t="s">
        <v>67</v>
      </c>
      <c r="F23" s="28">
        <v>500</v>
      </c>
      <c r="G23" s="29">
        <v>1</v>
      </c>
      <c r="H23" s="30">
        <v>500</v>
      </c>
      <c r="I23" s="28"/>
      <c r="J23" s="30">
        <f>(Table3[[#This Row],[QTY]]*Table3[[#This Row],[Supplies Cost]])+Table3[[#This Row],[Tax/Fees]]</f>
        <v>500</v>
      </c>
      <c r="K23" s="31"/>
      <c r="L23" s="1" t="s">
        <v>33</v>
      </c>
      <c r="M23" s="31" t="s">
        <v>47</v>
      </c>
      <c r="N23" s="31" t="s">
        <v>48</v>
      </c>
      <c r="O23" s="31"/>
      <c r="P23" s="31" t="s">
        <v>49</v>
      </c>
      <c r="Q23" s="31"/>
      <c r="R23" s="31"/>
      <c r="S23" s="31"/>
      <c r="T23" s="31" t="s">
        <v>53</v>
      </c>
      <c r="U23" s="32" t="str">
        <f>LEFT(Table3[[#This Row],[Stage]],FIND(".",Table3[[#This Row],[Stage]],1)-1)</f>
        <v>13</v>
      </c>
      <c r="V23" s="31" t="str">
        <f>VLOOKUP(ABS(Table3[[#This Row],[Type]]),[1]!Table9[#All],2)</f>
        <v>Electrical</v>
      </c>
    </row>
    <row r="24" spans="1:22" x14ac:dyDescent="0.45">
      <c r="A24" s="24">
        <v>44193</v>
      </c>
      <c r="B24" s="25" t="s">
        <v>68</v>
      </c>
      <c r="C24" s="34">
        <v>13.05</v>
      </c>
      <c r="D24" s="27" t="s">
        <v>45</v>
      </c>
      <c r="E24" s="25" t="s">
        <v>69</v>
      </c>
      <c r="F24" s="28">
        <v>250</v>
      </c>
      <c r="G24" s="29">
        <v>1</v>
      </c>
      <c r="H24" s="30">
        <v>250</v>
      </c>
      <c r="I24" s="28"/>
      <c r="J24" s="30">
        <f>(Table3[[#This Row],[QTY]]*Table3[[#This Row],[Supplies Cost]])+Table3[[#This Row],[Tax/Fees]]</f>
        <v>250</v>
      </c>
      <c r="K24" s="31"/>
      <c r="L24" s="1" t="s">
        <v>33</v>
      </c>
      <c r="M24" s="31" t="s">
        <v>34</v>
      </c>
      <c r="N24" s="31" t="s">
        <v>65</v>
      </c>
      <c r="O24" s="31"/>
      <c r="P24" s="31"/>
      <c r="Q24" s="31"/>
      <c r="R24" s="31"/>
      <c r="S24" s="31"/>
      <c r="T24" s="31" t="s">
        <v>53</v>
      </c>
      <c r="U24" s="32" t="str">
        <f>LEFT(Table3[[#This Row],[Stage]],FIND(".",Table3[[#This Row],[Stage]],1)-1)</f>
        <v>13</v>
      </c>
      <c r="V24" s="31" t="str">
        <f>VLOOKUP(ABS(Table3[[#This Row],[Type]]),[1]!Table9[#All],2)</f>
        <v>Electrical</v>
      </c>
    </row>
    <row r="25" spans="1:22" x14ac:dyDescent="0.45">
      <c r="A25" s="24">
        <v>44212</v>
      </c>
      <c r="B25" s="25" t="s">
        <v>70</v>
      </c>
      <c r="C25" s="34">
        <v>5.44</v>
      </c>
      <c r="D25" s="27" t="s">
        <v>45</v>
      </c>
      <c r="E25" s="25" t="s">
        <v>71</v>
      </c>
      <c r="F25" s="28"/>
      <c r="G25" s="29">
        <v>1</v>
      </c>
      <c r="H25" s="28">
        <v>2348.3000000000002</v>
      </c>
      <c r="I25" s="28">
        <v>410.95</v>
      </c>
      <c r="J25" s="30">
        <f>(Table3[[#This Row],[QTY]]*Table3[[#This Row],[Supplies Cost]])+Table3[[#This Row],[Tax/Fees]]</f>
        <v>2759.25</v>
      </c>
      <c r="K25" s="31"/>
      <c r="L25" s="1" t="s">
        <v>33</v>
      </c>
      <c r="M25" s="31" t="s">
        <v>47</v>
      </c>
      <c r="N25" s="31" t="s">
        <v>52</v>
      </c>
      <c r="O25" s="39" t="s">
        <v>72</v>
      </c>
      <c r="P25" s="31" t="s">
        <v>73</v>
      </c>
      <c r="Q25" s="31"/>
      <c r="R25" s="31"/>
      <c r="S25" s="31"/>
      <c r="T25" s="31" t="s">
        <v>56</v>
      </c>
      <c r="U25" s="32" t="str">
        <f>LEFT(Table3[[#This Row],[Stage]],FIND(".",Table3[[#This Row],[Stage]],1)-1)</f>
        <v>5</v>
      </c>
      <c r="V25" s="31" t="str">
        <f>VLOOKUP(ABS(Table3[[#This Row],[Type]]),[1]!Table9[#All],2)</f>
        <v>Earthworks</v>
      </c>
    </row>
    <row r="26" spans="1:22" x14ac:dyDescent="0.45">
      <c r="A26" s="24">
        <v>44212</v>
      </c>
      <c r="B26" s="25" t="s">
        <v>70</v>
      </c>
      <c r="C26" s="34">
        <v>5.44</v>
      </c>
      <c r="D26" s="27" t="s">
        <v>45</v>
      </c>
      <c r="E26" s="25" t="s">
        <v>71</v>
      </c>
      <c r="F26" s="28"/>
      <c r="G26" s="29">
        <v>1</v>
      </c>
      <c r="H26" s="28">
        <v>783.38</v>
      </c>
      <c r="I26" s="28">
        <v>137.09</v>
      </c>
      <c r="J26" s="30">
        <f>(Table3[[#This Row],[QTY]]*Table3[[#This Row],[Supplies Cost]])+Table3[[#This Row],[Tax/Fees]]</f>
        <v>920.47</v>
      </c>
      <c r="K26" s="31"/>
      <c r="L26" s="1" t="s">
        <v>33</v>
      </c>
      <c r="M26" s="31" t="s">
        <v>47</v>
      </c>
      <c r="N26" s="31" t="s">
        <v>52</v>
      </c>
      <c r="O26" s="31">
        <v>820002566</v>
      </c>
      <c r="P26" s="31" t="s">
        <v>74</v>
      </c>
      <c r="Q26" s="31"/>
      <c r="R26" s="31"/>
      <c r="S26" s="31"/>
      <c r="T26" s="31" t="s">
        <v>56</v>
      </c>
      <c r="U26" s="32" t="str">
        <f>LEFT(Table3[[#This Row],[Stage]],FIND(".",Table3[[#This Row],[Stage]],1)-1)</f>
        <v>5</v>
      </c>
      <c r="V26" s="31" t="str">
        <f>VLOOKUP(ABS(Table3[[#This Row],[Type]]),[1]!Table9[#All],2)</f>
        <v>Earthworks</v>
      </c>
    </row>
    <row r="27" spans="1:22" ht="30.75" x14ac:dyDescent="0.45">
      <c r="A27" s="24">
        <v>44214</v>
      </c>
      <c r="B27" s="25" t="s">
        <v>75</v>
      </c>
      <c r="C27" s="34">
        <v>5.44</v>
      </c>
      <c r="D27" s="27" t="s">
        <v>45</v>
      </c>
      <c r="E27" s="25" t="s">
        <v>76</v>
      </c>
      <c r="F27" s="28"/>
      <c r="G27" s="29">
        <v>1</v>
      </c>
      <c r="H27" s="28">
        <v>600</v>
      </c>
      <c r="I27" s="28"/>
      <c r="J27" s="30">
        <f>(Table3[[#This Row],[QTY]]*Table3[[#This Row],[Supplies Cost]])+Table3[[#This Row],[Tax/Fees]]</f>
        <v>600</v>
      </c>
      <c r="K27" s="31"/>
      <c r="L27" s="1" t="s">
        <v>33</v>
      </c>
      <c r="M27" s="31" t="s">
        <v>77</v>
      </c>
      <c r="N27" s="31" t="s">
        <v>52</v>
      </c>
      <c r="O27" s="31"/>
      <c r="P27" s="31" t="s">
        <v>73</v>
      </c>
      <c r="Q27" s="31"/>
      <c r="R27" s="31"/>
      <c r="S27" s="31" t="s">
        <v>78</v>
      </c>
      <c r="T27" s="31" t="s">
        <v>79</v>
      </c>
      <c r="U27" s="32" t="str">
        <f>LEFT(Table3[[#This Row],[Stage]],FIND(".",Table3[[#This Row],[Stage]],1)-1)</f>
        <v>5</v>
      </c>
      <c r="V27" s="31" t="str">
        <f>VLOOKUP(ABS(Table3[[#This Row],[Type]]),[1]!Table9[#All],2)</f>
        <v>Earthworks</v>
      </c>
    </row>
    <row r="28" spans="1:22" x14ac:dyDescent="0.45">
      <c r="A28" s="24">
        <v>44215</v>
      </c>
      <c r="B28" s="25" t="s">
        <v>80</v>
      </c>
      <c r="C28" s="34">
        <v>5.44</v>
      </c>
      <c r="D28" s="27" t="s">
        <v>81</v>
      </c>
      <c r="E28" s="25" t="s">
        <v>82</v>
      </c>
      <c r="F28" s="28">
        <v>11564.7</v>
      </c>
      <c r="G28" s="29">
        <v>1</v>
      </c>
      <c r="H28" s="28">
        <v>9842.2999999999993</v>
      </c>
      <c r="I28" s="28">
        <v>1722.4</v>
      </c>
      <c r="J28" s="30">
        <f>(Table3[[#This Row],[QTY]]*Table3[[#This Row],[Supplies Cost]])+Table3[[#This Row],[Tax/Fees]]</f>
        <v>11564.699999999999</v>
      </c>
      <c r="K28" s="31"/>
      <c r="L28" s="1" t="s">
        <v>33</v>
      </c>
      <c r="M28" s="31" t="s">
        <v>47</v>
      </c>
      <c r="N28" s="31" t="s">
        <v>52</v>
      </c>
      <c r="O28" s="31">
        <v>65123</v>
      </c>
      <c r="P28" s="31" t="s">
        <v>73</v>
      </c>
      <c r="Q28" s="40" t="s">
        <v>83</v>
      </c>
      <c r="R28" s="31"/>
      <c r="S28" s="31" t="s">
        <v>84</v>
      </c>
      <c r="T28" s="31" t="s">
        <v>85</v>
      </c>
      <c r="U28" s="32" t="str">
        <f>LEFT(Table3[[#This Row],[Stage]],FIND(".",Table3[[#This Row],[Stage]],1)-1)</f>
        <v>5</v>
      </c>
      <c r="V28" s="31" t="str">
        <f>VLOOKUP(ABS(Table3[[#This Row],[Type]]),[1]!Table9[#All],2)</f>
        <v>Earthworks</v>
      </c>
    </row>
    <row r="29" spans="1:22" x14ac:dyDescent="0.45">
      <c r="A29" s="24">
        <v>44215</v>
      </c>
      <c r="B29" s="25" t="s">
        <v>86</v>
      </c>
      <c r="C29" s="34">
        <v>8.0299999999999994</v>
      </c>
      <c r="D29" s="27" t="s">
        <v>81</v>
      </c>
      <c r="E29" s="25" t="s">
        <v>67</v>
      </c>
      <c r="F29" s="28"/>
      <c r="G29" s="29">
        <v>3</v>
      </c>
      <c r="H29" s="28">
        <v>8</v>
      </c>
      <c r="I29" s="28"/>
      <c r="J29" s="30">
        <f>(Table3[[#This Row],[QTY]]*Table3[[#This Row],[Supplies Cost]])+Table3[[#This Row],[Tax/Fees]]</f>
        <v>24</v>
      </c>
      <c r="K29" s="31"/>
      <c r="L29" s="1" t="s">
        <v>33</v>
      </c>
      <c r="M29" s="31" t="s">
        <v>47</v>
      </c>
      <c r="N29" s="31"/>
      <c r="O29" s="31"/>
      <c r="P29" s="31"/>
      <c r="Q29" s="31"/>
      <c r="R29" s="31">
        <v>8.0389999999999997</v>
      </c>
      <c r="S29" s="31"/>
      <c r="T29" s="31" t="s">
        <v>60</v>
      </c>
      <c r="U29" s="32" t="str">
        <f>LEFT(Table3[[#This Row],[Stage]],FIND(".",Table3[[#This Row],[Stage]],1)-1)</f>
        <v>8</v>
      </c>
      <c r="V29" s="31" t="str">
        <f>VLOOKUP(ABS(Table3[[#This Row],[Type]]),[1]!Table9[#All],2)</f>
        <v>Administrative</v>
      </c>
    </row>
    <row r="30" spans="1:22" x14ac:dyDescent="0.45">
      <c r="A30" s="24">
        <v>44221</v>
      </c>
      <c r="B30" s="25" t="s">
        <v>87</v>
      </c>
      <c r="C30" s="34">
        <v>5.3</v>
      </c>
      <c r="D30" s="27" t="s">
        <v>45</v>
      </c>
      <c r="E30" s="27" t="s">
        <v>55</v>
      </c>
      <c r="F30" s="28"/>
      <c r="G30" s="29">
        <v>1</v>
      </c>
      <c r="H30" s="28">
        <v>1575</v>
      </c>
      <c r="I30" s="28"/>
      <c r="J30" s="30">
        <f>(Table3[[#This Row],[QTY]]*Table3[[#This Row],[Supplies Cost]])+Table3[[#This Row],[Tax/Fees]]</f>
        <v>1575</v>
      </c>
      <c r="K30" s="31"/>
      <c r="L30" s="1" t="s">
        <v>33</v>
      </c>
      <c r="M30" s="31" t="s">
        <v>34</v>
      </c>
      <c r="N30" s="31" t="s">
        <v>48</v>
      </c>
      <c r="O30" s="31"/>
      <c r="P30" s="31" t="s">
        <v>49</v>
      </c>
      <c r="Q30" s="31"/>
      <c r="R30" s="31"/>
      <c r="S30" s="31"/>
      <c r="T30" s="31" t="s">
        <v>56</v>
      </c>
      <c r="U30" s="32" t="str">
        <f>LEFT(Table3[[#This Row],[Stage]],FIND(".",Table3[[#This Row],[Stage]],1)-1)</f>
        <v>5</v>
      </c>
      <c r="V30" s="31" t="str">
        <f>VLOOKUP(ABS(Table3[[#This Row],[Type]]),[1]!Table9[#All],2)</f>
        <v>Earthworks</v>
      </c>
    </row>
    <row r="31" spans="1:22" x14ac:dyDescent="0.45">
      <c r="A31" s="24">
        <v>44221</v>
      </c>
      <c r="B31" s="25" t="s">
        <v>88</v>
      </c>
      <c r="C31" s="34">
        <v>8.01</v>
      </c>
      <c r="D31" s="27" t="s">
        <v>45</v>
      </c>
      <c r="E31" s="25" t="s">
        <v>89</v>
      </c>
      <c r="F31" s="28"/>
      <c r="G31" s="29">
        <v>1</v>
      </c>
      <c r="H31" s="28">
        <f>149.9*2</f>
        <v>299.8</v>
      </c>
      <c r="I31" s="28">
        <f>9.93*2</f>
        <v>19.86</v>
      </c>
      <c r="J31" s="30">
        <f>(Table3[[#This Row],[QTY]]*Table3[[#This Row],[Supplies Cost]])+Table3[[#This Row],[Tax/Fees]]</f>
        <v>319.66000000000003</v>
      </c>
      <c r="K31" s="31"/>
      <c r="L31" s="1" t="s">
        <v>33</v>
      </c>
      <c r="M31" s="31" t="s">
        <v>47</v>
      </c>
      <c r="N31" s="31" t="s">
        <v>48</v>
      </c>
      <c r="O31" s="31"/>
      <c r="P31" s="31" t="s">
        <v>49</v>
      </c>
      <c r="Q31" s="31"/>
      <c r="R31" s="31">
        <v>8.0180000000000007</v>
      </c>
      <c r="S31" s="31" t="s">
        <v>90</v>
      </c>
      <c r="T31" s="31" t="s">
        <v>60</v>
      </c>
      <c r="U31" s="32" t="str">
        <f>LEFT(Table3[[#This Row],[Stage]],FIND(".",Table3[[#This Row],[Stage]],1)-1)</f>
        <v>8</v>
      </c>
      <c r="V31" s="31" t="str">
        <f>VLOOKUP(ABS(Table3[[#This Row],[Type]]),[1]!Table9[#All],2)</f>
        <v>Administrative</v>
      </c>
    </row>
    <row r="32" spans="1:22" x14ac:dyDescent="0.45">
      <c r="A32" s="41">
        <v>44222</v>
      </c>
      <c r="B32" s="42" t="s">
        <v>91</v>
      </c>
      <c r="C32" s="43">
        <v>5.58</v>
      </c>
      <c r="D32" s="27" t="s">
        <v>81</v>
      </c>
      <c r="E32" s="44" t="s">
        <v>64</v>
      </c>
      <c r="F32" s="45"/>
      <c r="G32" s="46">
        <v>2</v>
      </c>
      <c r="H32" s="45">
        <v>210</v>
      </c>
      <c r="I32" s="45"/>
      <c r="J32" s="47">
        <f>(Table3[[#This Row],[QTY]]*Table3[[#This Row],[Supplies Cost]])+Table3[[#This Row],[Tax/Fees]]</f>
        <v>420</v>
      </c>
      <c r="K32" s="36"/>
      <c r="L32" s="1" t="s">
        <v>92</v>
      </c>
      <c r="M32" s="40" t="s">
        <v>47</v>
      </c>
      <c r="N32" s="31"/>
      <c r="O32" s="31" t="s">
        <v>93</v>
      </c>
      <c r="P32" s="31"/>
      <c r="Q32" s="31"/>
      <c r="R32" s="31">
        <v>5.5810000000000004</v>
      </c>
      <c r="S32" s="31"/>
      <c r="T32" s="31" t="s">
        <v>56</v>
      </c>
      <c r="U32" s="32" t="str">
        <f>LEFT(Table3[[#This Row],[Stage]],FIND(".",Table3[[#This Row],[Stage]],1)-1)</f>
        <v>5</v>
      </c>
      <c r="V32" s="31" t="str">
        <f>VLOOKUP(ABS(Table3[[#This Row],[Type]]),[1]!Table9[#All],2)</f>
        <v>Earthworks</v>
      </c>
    </row>
    <row r="33" spans="1:22" x14ac:dyDescent="0.45">
      <c r="A33" s="48">
        <v>44222</v>
      </c>
      <c r="B33" s="42" t="s">
        <v>94</v>
      </c>
      <c r="C33" s="43">
        <v>5.58</v>
      </c>
      <c r="D33" s="27" t="s">
        <v>81</v>
      </c>
      <c r="E33" s="42" t="s">
        <v>64</v>
      </c>
      <c r="F33" s="45"/>
      <c r="G33" s="46">
        <v>2</v>
      </c>
      <c r="H33" s="45">
        <v>150</v>
      </c>
      <c r="I33" s="45"/>
      <c r="J33" s="47">
        <f>(Table3[[#This Row],[QTY]]*Table3[[#This Row],[Supplies Cost]])+Table3[[#This Row],[Tax/Fees]]</f>
        <v>300</v>
      </c>
      <c r="K33" s="36"/>
      <c r="L33" s="1" t="s">
        <v>92</v>
      </c>
      <c r="M33" s="31" t="s">
        <v>47</v>
      </c>
      <c r="N33" s="31"/>
      <c r="O33" s="31" t="s">
        <v>93</v>
      </c>
      <c r="P33" s="31"/>
      <c r="Q33" s="31"/>
      <c r="R33" s="31">
        <v>5.5810500000000003</v>
      </c>
      <c r="S33" s="31"/>
      <c r="T33" s="31" t="s">
        <v>56</v>
      </c>
      <c r="U33" s="32" t="str">
        <f>LEFT(Table3[[#This Row],[Stage]],FIND(".",Table3[[#This Row],[Stage]],1)-1)</f>
        <v>5</v>
      </c>
      <c r="V33" s="31" t="str">
        <f>VLOOKUP(ABS(Table3[[#This Row],[Type]]),[1]!Table9[#All],2)</f>
        <v>Earthworks</v>
      </c>
    </row>
    <row r="34" spans="1:22" x14ac:dyDescent="0.45">
      <c r="A34" s="48">
        <v>44223</v>
      </c>
      <c r="B34" s="42" t="s">
        <v>95</v>
      </c>
      <c r="C34" s="43">
        <v>5.42</v>
      </c>
      <c r="D34" s="27" t="s">
        <v>45</v>
      </c>
      <c r="E34" s="42" t="s">
        <v>64</v>
      </c>
      <c r="F34" s="45"/>
      <c r="G34" s="46">
        <v>6</v>
      </c>
      <c r="H34" s="45">
        <v>180</v>
      </c>
      <c r="I34" s="45"/>
      <c r="J34" s="47">
        <f>(Table3[[#This Row],[QTY]]*Table3[[#This Row],[Supplies Cost]])+Table3[[#This Row],[Tax/Fees]]</f>
        <v>1080</v>
      </c>
      <c r="K34" s="36"/>
      <c r="L34" s="1" t="s">
        <v>92</v>
      </c>
      <c r="M34" s="31" t="s">
        <v>34</v>
      </c>
      <c r="N34" s="31"/>
      <c r="O34" s="31" t="s">
        <v>93</v>
      </c>
      <c r="P34" s="31"/>
      <c r="Q34" s="31"/>
      <c r="R34" s="31">
        <v>5.4211</v>
      </c>
      <c r="S34" s="31"/>
      <c r="T34" s="31" t="s">
        <v>56</v>
      </c>
      <c r="U34" s="32" t="str">
        <f>LEFT(Table3[[#This Row],[Stage]],FIND(".",Table3[[#This Row],[Stage]],1)-1)</f>
        <v>5</v>
      </c>
      <c r="V34" s="31" t="str">
        <f>VLOOKUP(ABS(Table3[[#This Row],[Type]]),[1]!Table9[#All],2)</f>
        <v>Earthworks</v>
      </c>
    </row>
    <row r="35" spans="1:22" ht="61.5" x14ac:dyDescent="0.45">
      <c r="A35" s="24">
        <v>44223</v>
      </c>
      <c r="B35" s="25" t="s">
        <v>96</v>
      </c>
      <c r="C35" s="34">
        <v>3.01</v>
      </c>
      <c r="D35" s="27" t="s">
        <v>81</v>
      </c>
      <c r="E35" s="25" t="s">
        <v>67</v>
      </c>
      <c r="F35" s="28"/>
      <c r="G35" s="49">
        <v>1</v>
      </c>
      <c r="H35" s="28">
        <v>3000</v>
      </c>
      <c r="I35" s="28"/>
      <c r="J35" s="30">
        <f>(Table3[[#This Row],[QTY]]*Table3[[#This Row],[Supplies Cost]])+Table3[[#This Row],[Tax/Fees]]</f>
        <v>3000</v>
      </c>
      <c r="K35" s="31"/>
      <c r="L35" s="1" t="s">
        <v>33</v>
      </c>
      <c r="M35" s="31" t="s">
        <v>34</v>
      </c>
      <c r="N35" s="31" t="s">
        <v>52</v>
      </c>
      <c r="O35" s="31"/>
      <c r="P35" s="31"/>
      <c r="Q35" s="31"/>
      <c r="R35" s="31">
        <v>3.0185</v>
      </c>
      <c r="S35" s="31" t="s">
        <v>97</v>
      </c>
      <c r="T35" s="31" t="s">
        <v>98</v>
      </c>
      <c r="U35" s="32" t="str">
        <f>LEFT(Table3[[#This Row],[Stage]],FIND(".",Table3[[#This Row],[Stage]],1)-1)</f>
        <v>3</v>
      </c>
      <c r="V35" s="31" t="str">
        <f>VLOOKUP(ABS(Table3[[#This Row],[Type]]),[1]!Table9[#All],2)</f>
        <v>Masonary</v>
      </c>
    </row>
    <row r="36" spans="1:22" x14ac:dyDescent="0.45">
      <c r="A36" s="48">
        <v>44224</v>
      </c>
      <c r="B36" s="42" t="s">
        <v>99</v>
      </c>
      <c r="C36" s="43">
        <v>5.42</v>
      </c>
      <c r="D36" s="27" t="s">
        <v>45</v>
      </c>
      <c r="E36" s="42" t="s">
        <v>64</v>
      </c>
      <c r="F36" s="45"/>
      <c r="G36" s="46">
        <v>6</v>
      </c>
      <c r="H36" s="45">
        <v>180</v>
      </c>
      <c r="I36" s="45"/>
      <c r="J36" s="47">
        <f>(Table3[[#This Row],[QTY]]*Table3[[#This Row],[Supplies Cost]])+Table3[[#This Row],[Tax/Fees]]</f>
        <v>1080</v>
      </c>
      <c r="K36" s="36"/>
      <c r="L36" s="1" t="s">
        <v>92</v>
      </c>
      <c r="M36" s="31" t="s">
        <v>34</v>
      </c>
      <c r="N36" s="31"/>
      <c r="O36" s="31" t="s">
        <v>93</v>
      </c>
      <c r="P36" s="31"/>
      <c r="Q36" s="31"/>
      <c r="R36" s="31">
        <v>5.4211499999999999</v>
      </c>
      <c r="S36" s="31"/>
      <c r="T36" s="31" t="s">
        <v>56</v>
      </c>
      <c r="U36" s="32" t="str">
        <f>LEFT(Table3[[#This Row],[Stage]],FIND(".",Table3[[#This Row],[Stage]],1)-1)</f>
        <v>5</v>
      </c>
      <c r="V36" s="31" t="str">
        <f>VLOOKUP(ABS(Table3[[#This Row],[Type]]),[1]!Table9[#All],2)</f>
        <v>Earthworks</v>
      </c>
    </row>
    <row r="37" spans="1:22" x14ac:dyDescent="0.45">
      <c r="A37" s="48">
        <v>44225</v>
      </c>
      <c r="B37" s="42" t="s">
        <v>100</v>
      </c>
      <c r="C37" s="43">
        <v>5.42</v>
      </c>
      <c r="D37" s="27" t="s">
        <v>45</v>
      </c>
      <c r="E37" s="42" t="s">
        <v>64</v>
      </c>
      <c r="F37" s="45"/>
      <c r="G37" s="46">
        <v>7.5</v>
      </c>
      <c r="H37" s="45">
        <v>180</v>
      </c>
      <c r="I37" s="45"/>
      <c r="J37" s="47">
        <f>(Table3[[#This Row],[QTY]]*Table3[[#This Row],[Supplies Cost]])+Table3[[#This Row],[Tax/Fees]]</f>
        <v>1350</v>
      </c>
      <c r="K37" s="36">
        <v>4230</v>
      </c>
      <c r="L37" s="50" t="s">
        <v>33</v>
      </c>
      <c r="M37" s="31" t="s">
        <v>34</v>
      </c>
      <c r="N37" s="31"/>
      <c r="O37" s="1" t="s">
        <v>93</v>
      </c>
      <c r="P37" s="31"/>
      <c r="Q37" s="31"/>
      <c r="R37" s="31">
        <v>5.423</v>
      </c>
      <c r="S37" s="31"/>
      <c r="T37" s="31" t="s">
        <v>56</v>
      </c>
      <c r="U37" s="32" t="str">
        <f>LEFT(Table3[[#This Row],[Stage]],FIND(".",Table3[[#This Row],[Stage]],1)-1)</f>
        <v>5</v>
      </c>
      <c r="V37" s="31" t="str">
        <f>VLOOKUP(ABS(Table3[[#This Row],[Type]]),[1]!Table9[#All],2)</f>
        <v>Earthworks</v>
      </c>
    </row>
    <row r="38" spans="1:22" x14ac:dyDescent="0.45">
      <c r="A38" s="24">
        <v>44225</v>
      </c>
      <c r="B38" s="25" t="s">
        <v>101</v>
      </c>
      <c r="C38" s="34">
        <v>3.06</v>
      </c>
      <c r="D38" s="27" t="s">
        <v>81</v>
      </c>
      <c r="E38" s="25" t="s">
        <v>67</v>
      </c>
      <c r="F38" s="28"/>
      <c r="G38" s="29">
        <v>3</v>
      </c>
      <c r="H38" s="28">
        <v>15.27</v>
      </c>
      <c r="I38" s="28">
        <v>8.02</v>
      </c>
      <c r="J38" s="30">
        <f>(Table3[[#This Row],[QTY]]*Table3[[#This Row],[Supplies Cost]])+Table3[[#This Row],[Tax/Fees]]</f>
        <v>53.83</v>
      </c>
      <c r="K38" s="31"/>
      <c r="L38" s="1" t="s">
        <v>33</v>
      </c>
      <c r="M38" s="31" t="s">
        <v>47</v>
      </c>
      <c r="N38" s="31"/>
      <c r="O38" s="31">
        <v>363715</v>
      </c>
      <c r="P38" s="31"/>
      <c r="Q38" s="31" t="s">
        <v>102</v>
      </c>
      <c r="R38" s="31">
        <v>5.5895000000000001</v>
      </c>
      <c r="S38" s="31"/>
      <c r="T38" s="31" t="s">
        <v>98</v>
      </c>
      <c r="U38" s="32" t="str">
        <f>LEFT(Table3[[#This Row],[Stage]],FIND(".",Table3[[#This Row],[Stage]],1)-1)</f>
        <v>3</v>
      </c>
      <c r="V38" s="31" t="str">
        <f>VLOOKUP(ABS(Table3[[#This Row],[Type]]),[1]!Table9[#All],2)</f>
        <v>Masonary</v>
      </c>
    </row>
    <row r="39" spans="1:22" x14ac:dyDescent="0.45">
      <c r="A39" s="24">
        <v>44242</v>
      </c>
      <c r="B39" s="25" t="s">
        <v>103</v>
      </c>
      <c r="C39" s="34">
        <v>8.0399999999999991</v>
      </c>
      <c r="D39" s="27" t="s">
        <v>45</v>
      </c>
      <c r="E39" s="25" t="s">
        <v>104</v>
      </c>
      <c r="F39" s="28"/>
      <c r="G39" s="29">
        <v>1</v>
      </c>
      <c r="H39" s="28">
        <v>370.5</v>
      </c>
      <c r="I39" s="28"/>
      <c r="J39" s="30">
        <f>(Table3[[#This Row],[QTY]]*Table3[[#This Row],[Supplies Cost]])+Table3[[#This Row],[Tax/Fees]]</f>
        <v>370.5</v>
      </c>
      <c r="K39" s="31">
        <v>370</v>
      </c>
      <c r="L39" s="1" t="s">
        <v>33</v>
      </c>
      <c r="M39" s="31" t="s">
        <v>77</v>
      </c>
      <c r="N39" s="31"/>
      <c r="O39" s="31"/>
      <c r="P39" s="31"/>
      <c r="Q39" s="31"/>
      <c r="R39" s="31">
        <v>8.0434999999999999</v>
      </c>
      <c r="S39" s="31"/>
      <c r="T39" s="31" t="s">
        <v>60</v>
      </c>
      <c r="U39" s="32" t="str">
        <f>LEFT(Table3[[#This Row],[Stage]],FIND(".",Table3[[#This Row],[Stage]],1)-1)</f>
        <v>8</v>
      </c>
      <c r="V39" s="31" t="str">
        <f>VLOOKUP(ABS(Table3[[#This Row],[Type]]),[1]!Table9[#All],2)</f>
        <v>Administrative</v>
      </c>
    </row>
    <row r="40" spans="1:22" ht="30.75" x14ac:dyDescent="0.45">
      <c r="A40" s="24">
        <v>44256</v>
      </c>
      <c r="B40" s="25" t="s">
        <v>105</v>
      </c>
      <c r="C40" s="34">
        <v>3.01</v>
      </c>
      <c r="D40" s="27" t="s">
        <v>81</v>
      </c>
      <c r="E40" s="25" t="s">
        <v>67</v>
      </c>
      <c r="F40" s="28"/>
      <c r="G40" s="49">
        <v>3</v>
      </c>
      <c r="H40" s="28">
        <v>3000</v>
      </c>
      <c r="I40" s="28"/>
      <c r="J40" s="30">
        <f>(Table3[[#This Row],[QTY]]*Table3[[#This Row],[Supplies Cost]])+Table3[[#This Row],[Tax/Fees]]</f>
        <v>9000</v>
      </c>
      <c r="K40" s="31">
        <v>9000</v>
      </c>
      <c r="L40" s="1" t="s">
        <v>33</v>
      </c>
      <c r="M40" s="31" t="s">
        <v>34</v>
      </c>
      <c r="N40" s="31"/>
      <c r="O40" s="31"/>
      <c r="P40" s="31"/>
      <c r="Q40" s="31"/>
      <c r="R40" s="31">
        <v>3.0114999999999998</v>
      </c>
      <c r="S40" s="31" t="s">
        <v>106</v>
      </c>
      <c r="T40" s="31" t="s">
        <v>98</v>
      </c>
      <c r="U40" s="32" t="str">
        <f>LEFT(Table3[[#This Row],[Stage]],FIND(".",Table3[[#This Row],[Stage]],1)-1)</f>
        <v>3</v>
      </c>
      <c r="V40" s="31" t="str">
        <f>VLOOKUP(ABS(Table3[[#This Row],[Type]]),[1]!Table9[#All],2)</f>
        <v>Masonary</v>
      </c>
    </row>
    <row r="41" spans="1:22" x14ac:dyDescent="0.45">
      <c r="A41" s="24">
        <v>44258</v>
      </c>
      <c r="B41" s="25" t="s">
        <v>107</v>
      </c>
      <c r="C41" s="34">
        <v>5.58</v>
      </c>
      <c r="D41" s="27" t="s">
        <v>81</v>
      </c>
      <c r="E41" s="25" t="s">
        <v>108</v>
      </c>
      <c r="F41" s="28"/>
      <c r="G41" s="29">
        <v>1</v>
      </c>
      <c r="H41" s="28">
        <v>2735.4</v>
      </c>
      <c r="I41" s="28"/>
      <c r="J41" s="30">
        <f>(Table3[[#This Row],[QTY]]*Table3[[#This Row],[Supplies Cost]])+Table3[[#This Row],[Tax/Fees]]</f>
        <v>2735.4</v>
      </c>
      <c r="K41" s="31">
        <v>2735</v>
      </c>
      <c r="L41" s="1" t="s">
        <v>33</v>
      </c>
      <c r="M41" s="31" t="s">
        <v>47</v>
      </c>
      <c r="N41" s="31"/>
      <c r="O41" s="31"/>
      <c r="P41" s="31"/>
      <c r="Q41" s="31"/>
      <c r="R41" s="31">
        <v>5.5819999999999999</v>
      </c>
      <c r="S41" s="31"/>
      <c r="T41" s="31" t="s">
        <v>109</v>
      </c>
      <c r="U41" s="32" t="str">
        <f>LEFT(Table3[[#This Row],[Stage]],FIND(".",Table3[[#This Row],[Stage]],1)-1)</f>
        <v>5</v>
      </c>
      <c r="V41" s="31" t="str">
        <f>VLOOKUP(ABS(Table3[[#This Row],[Type]]),[1]!Table9[#All],2)</f>
        <v>Earthworks</v>
      </c>
    </row>
    <row r="42" spans="1:22" x14ac:dyDescent="0.45">
      <c r="A42" s="24">
        <v>44258</v>
      </c>
      <c r="B42" s="25" t="s">
        <v>110</v>
      </c>
      <c r="C42" s="34">
        <v>5.58</v>
      </c>
      <c r="D42" s="27" t="s">
        <v>81</v>
      </c>
      <c r="E42" s="25" t="s">
        <v>71</v>
      </c>
      <c r="F42" s="28"/>
      <c r="G42" s="29">
        <v>1</v>
      </c>
      <c r="H42" s="28">
        <v>2391.37</v>
      </c>
      <c r="I42" s="28"/>
      <c r="J42" s="30">
        <f>(Table3[[#This Row],[QTY]]*Table3[[#This Row],[Supplies Cost]])+Table3[[#This Row],[Tax/Fees]]</f>
        <v>2391.37</v>
      </c>
      <c r="K42" s="31">
        <v>2391</v>
      </c>
      <c r="L42" s="1" t="s">
        <v>33</v>
      </c>
      <c r="M42" s="31" t="s">
        <v>47</v>
      </c>
      <c r="N42" s="31"/>
      <c r="O42" s="1"/>
      <c r="P42" s="31"/>
      <c r="Q42" s="31"/>
      <c r="R42" s="31">
        <v>5.5824999999999996</v>
      </c>
      <c r="S42" s="31"/>
      <c r="T42" s="31" t="s">
        <v>111</v>
      </c>
      <c r="U42" s="32" t="str">
        <f>LEFT(Table3[[#This Row],[Stage]],FIND(".",Table3[[#This Row],[Stage]],1)-1)</f>
        <v>5</v>
      </c>
      <c r="V42" s="31" t="str">
        <f>VLOOKUP(ABS(Table3[[#This Row],[Type]]),[1]!Table9[#All],2)</f>
        <v>Earthworks</v>
      </c>
    </row>
    <row r="43" spans="1:22" ht="30.75" x14ac:dyDescent="0.45">
      <c r="A43" s="24">
        <v>44260</v>
      </c>
      <c r="B43" s="25" t="s">
        <v>112</v>
      </c>
      <c r="C43" s="34">
        <v>5.5</v>
      </c>
      <c r="D43" s="27" t="s">
        <v>45</v>
      </c>
      <c r="E43" s="25" t="s">
        <v>113</v>
      </c>
      <c r="F43" s="28"/>
      <c r="G43" s="29">
        <v>2</v>
      </c>
      <c r="H43" s="28">
        <v>700</v>
      </c>
      <c r="I43" s="28"/>
      <c r="J43" s="30">
        <f>(Table3[[#This Row],[QTY]]*Table3[[#This Row],[Supplies Cost]])+Table3[[#This Row],[Tax/Fees]]</f>
        <v>1400</v>
      </c>
      <c r="K43" s="31"/>
      <c r="L43" s="1" t="s">
        <v>33</v>
      </c>
      <c r="M43" s="31" t="s">
        <v>34</v>
      </c>
      <c r="N43" s="31"/>
      <c r="O43" s="1"/>
      <c r="P43" s="31"/>
      <c r="Q43" s="31"/>
      <c r="R43" s="31">
        <v>5.51</v>
      </c>
      <c r="S43" s="31" t="s">
        <v>114</v>
      </c>
      <c r="T43" s="31" t="s">
        <v>56</v>
      </c>
      <c r="U43" s="32" t="str">
        <f>LEFT(Table3[[#This Row],[Stage]],FIND(".",Table3[[#This Row],[Stage]],1)-1)</f>
        <v>5</v>
      </c>
      <c r="V43" s="31" t="str">
        <f>VLOOKUP(ABS(Table3[[#This Row],[Type]]),[1]!Table9[#All],2)</f>
        <v>Earthworks</v>
      </c>
    </row>
    <row r="44" spans="1:22" x14ac:dyDescent="0.45">
      <c r="A44" s="51">
        <v>44263</v>
      </c>
      <c r="B44" s="25" t="s">
        <v>115</v>
      </c>
      <c r="C44" s="34">
        <v>5.44</v>
      </c>
      <c r="D44" s="27" t="s">
        <v>45</v>
      </c>
      <c r="E44" s="25" t="s">
        <v>116</v>
      </c>
      <c r="F44" s="28"/>
      <c r="G44" s="29">
        <v>1</v>
      </c>
      <c r="H44" s="28">
        <v>120</v>
      </c>
      <c r="I44" s="28">
        <v>21</v>
      </c>
      <c r="J44" s="30">
        <f>(Table3[[#This Row],[QTY]]*Table3[[#This Row],[Supplies Cost]])+Table3[[#This Row],[Tax/Fees]]</f>
        <v>141</v>
      </c>
      <c r="K44" s="31"/>
      <c r="L44" s="1" t="s">
        <v>33</v>
      </c>
      <c r="M44" s="31" t="s">
        <v>77</v>
      </c>
      <c r="N44" s="31"/>
      <c r="O44" s="25">
        <v>856883</v>
      </c>
      <c r="P44" s="31"/>
      <c r="Q44" s="31"/>
      <c r="R44" s="31">
        <v>5.4429999999999996</v>
      </c>
      <c r="S44" s="31"/>
      <c r="T44" s="31" t="s">
        <v>56</v>
      </c>
      <c r="U44" s="32" t="str">
        <f>LEFT(Table3[[#This Row],[Stage]],FIND(".",Table3[[#This Row],[Stage]],1)-1)</f>
        <v>5</v>
      </c>
      <c r="V44" s="31" t="str">
        <f>VLOOKUP(ABS(Table3[[#This Row],[Type]]),[1]!Table9[#All],2)</f>
        <v>Earthworks</v>
      </c>
    </row>
    <row r="45" spans="1:22" x14ac:dyDescent="0.45">
      <c r="A45" s="51">
        <v>44265</v>
      </c>
      <c r="B45" s="25" t="s">
        <v>117</v>
      </c>
      <c r="C45" s="52">
        <v>3.06</v>
      </c>
      <c r="D45" s="27" t="s">
        <v>118</v>
      </c>
      <c r="E45" s="25" t="s">
        <v>119</v>
      </c>
      <c r="F45" s="28"/>
      <c r="G45" s="29">
        <v>1</v>
      </c>
      <c r="H45" s="28">
        <v>15294.4</v>
      </c>
      <c r="I45" s="28"/>
      <c r="J45" s="30">
        <f>(Table3[[#This Row],[QTY]]*Table3[[#This Row],[Supplies Cost]])+Table3[[#This Row],[Tax/Fees]]</f>
        <v>15294.4</v>
      </c>
      <c r="K45" s="31">
        <v>1000002580262</v>
      </c>
      <c r="L45" s="1" t="s">
        <v>33</v>
      </c>
      <c r="M45" s="31" t="s">
        <v>47</v>
      </c>
      <c r="N45" s="31"/>
      <c r="O45" s="25">
        <v>17992</v>
      </c>
      <c r="P45" s="31"/>
      <c r="Q45" s="40" t="s">
        <v>120</v>
      </c>
      <c r="R45" s="31">
        <v>5.5410000000000004</v>
      </c>
      <c r="S45" s="31"/>
      <c r="T45" s="31" t="s">
        <v>98</v>
      </c>
      <c r="U45" s="32" t="str">
        <f>LEFT(Table3[[#This Row],[Stage]],FIND(".",Table3[[#This Row],[Stage]],1)-1)</f>
        <v>3</v>
      </c>
      <c r="V45" s="31" t="str">
        <f>VLOOKUP(ABS(Table3[[#This Row],[Type]]),[1]!Table9[#All],2)</f>
        <v>Masonary</v>
      </c>
    </row>
    <row r="46" spans="1:22" x14ac:dyDescent="0.45">
      <c r="A46" s="24">
        <v>44265</v>
      </c>
      <c r="B46" s="53" t="s">
        <v>121</v>
      </c>
      <c r="C46" s="34">
        <v>1.1100000000000001</v>
      </c>
      <c r="D46" s="27" t="s">
        <v>122</v>
      </c>
      <c r="E46" s="25" t="s">
        <v>123</v>
      </c>
      <c r="F46" s="28"/>
      <c r="G46" s="29">
        <v>1</v>
      </c>
      <c r="H46" s="28">
        <v>30000</v>
      </c>
      <c r="I46" s="30">
        <v>-93.75</v>
      </c>
      <c r="J46" s="54">
        <f>(Table3[[#This Row],[QTY]]*Table3[[#This Row],[Supplies Cost]])+Table3[[#This Row],[Tax/Fees]]</f>
        <v>29906.25</v>
      </c>
      <c r="K46" s="31">
        <v>29906</v>
      </c>
      <c r="L46" s="1" t="s">
        <v>33</v>
      </c>
      <c r="M46" s="31" t="s">
        <v>124</v>
      </c>
      <c r="N46" s="31"/>
      <c r="O46" s="31"/>
      <c r="P46" s="31"/>
      <c r="Q46" s="31"/>
      <c r="R46" s="31"/>
      <c r="S46" s="31"/>
      <c r="T46" s="31" t="s">
        <v>125</v>
      </c>
      <c r="U46" s="32" t="str">
        <f>LEFT(Table3[[#This Row],[Stage]],FIND(".",Table3[[#This Row],[Stage]],1)-1)</f>
        <v>1</v>
      </c>
      <c r="V46" s="31" t="str">
        <f>VLOOKUP(ABS(Table3[[#This Row],[Type]]),[1]!Table9[#All],2)</f>
        <v>Transfers</v>
      </c>
    </row>
    <row r="47" spans="1:22" x14ac:dyDescent="0.45">
      <c r="A47" s="24">
        <v>44266</v>
      </c>
      <c r="B47" s="25" t="s">
        <v>126</v>
      </c>
      <c r="C47" s="34">
        <v>8.0399999999999991</v>
      </c>
      <c r="D47" s="27" t="s">
        <v>45</v>
      </c>
      <c r="E47" s="25" t="s">
        <v>127</v>
      </c>
      <c r="F47" s="28"/>
      <c r="G47" s="29">
        <v>1</v>
      </c>
      <c r="H47" s="28">
        <v>260</v>
      </c>
      <c r="I47" s="28">
        <v>56</v>
      </c>
      <c r="J47" s="30">
        <f>(Table3[[#This Row],[QTY]]*Table3[[#This Row],[Supplies Cost]])+Table3[[#This Row],[Tax/Fees]]</f>
        <v>316</v>
      </c>
      <c r="K47" s="31"/>
      <c r="L47" s="1" t="s">
        <v>92</v>
      </c>
      <c r="M47" s="31" t="s">
        <v>77</v>
      </c>
      <c r="N47" s="31"/>
      <c r="O47" s="31" t="s">
        <v>128</v>
      </c>
      <c r="P47" s="31"/>
      <c r="Q47" s="31"/>
      <c r="R47" s="31"/>
      <c r="S47" s="31"/>
      <c r="T47" s="31" t="s">
        <v>129</v>
      </c>
      <c r="U47" s="32" t="str">
        <f>LEFT(Table3[[#This Row],[Stage]],FIND(".",Table3[[#This Row],[Stage]],1)-1)</f>
        <v>8</v>
      </c>
      <c r="V47" s="31" t="str">
        <f>VLOOKUP(ABS(Table3[[#This Row],[Type]]),[1]!Table9[#All],2)</f>
        <v>Administrative</v>
      </c>
    </row>
    <row r="48" spans="1:22" x14ac:dyDescent="0.45">
      <c r="A48" s="24">
        <v>44266</v>
      </c>
      <c r="B48" s="25" t="s">
        <v>130</v>
      </c>
      <c r="C48" s="34">
        <v>8.0399999999999991</v>
      </c>
      <c r="D48" s="27" t="s">
        <v>45</v>
      </c>
      <c r="E48" s="25" t="s">
        <v>127</v>
      </c>
      <c r="F48" s="28"/>
      <c r="G48" s="29">
        <v>1</v>
      </c>
      <c r="H48" s="28">
        <v>60</v>
      </c>
      <c r="I48" s="28"/>
      <c r="J48" s="30">
        <f>(Table3[[#This Row],[QTY]]*Table3[[#This Row],[Supplies Cost]])+Table3[[#This Row],[Tax/Fees]]</f>
        <v>60</v>
      </c>
      <c r="K48" s="31">
        <v>376</v>
      </c>
      <c r="L48" s="1" t="s">
        <v>33</v>
      </c>
      <c r="M48" s="31" t="s">
        <v>77</v>
      </c>
      <c r="N48" s="31"/>
      <c r="O48" s="31" t="s">
        <v>128</v>
      </c>
      <c r="P48" s="31"/>
      <c r="Q48" s="31"/>
      <c r="R48" s="31">
        <v>8.0414999999999992</v>
      </c>
      <c r="S48" s="31"/>
      <c r="T48" s="31" t="s">
        <v>129</v>
      </c>
      <c r="U48" s="32" t="str">
        <f>LEFT(Table3[[#This Row],[Stage]],FIND(".",Table3[[#This Row],[Stage]],1)-1)</f>
        <v>8</v>
      </c>
      <c r="V48" s="31" t="str">
        <f>VLOOKUP(ABS(Table3[[#This Row],[Type]]),[1]!Table9[#All],2)</f>
        <v>Administrative</v>
      </c>
    </row>
    <row r="49" spans="1:22" x14ac:dyDescent="0.45">
      <c r="A49" s="24">
        <v>44266</v>
      </c>
      <c r="B49" s="25" t="s">
        <v>131</v>
      </c>
      <c r="C49" s="34">
        <v>7.2</v>
      </c>
      <c r="D49" s="27" t="s">
        <v>81</v>
      </c>
      <c r="E49" s="25" t="s">
        <v>69</v>
      </c>
      <c r="F49" s="28"/>
      <c r="G49" s="29">
        <v>1</v>
      </c>
      <c r="H49" s="28">
        <v>2970</v>
      </c>
      <c r="I49" s="28"/>
      <c r="J49" s="30">
        <f>(Table3[[#This Row],[QTY]]*Table3[[#This Row],[Supplies Cost]])+Table3[[#This Row],[Tax/Fees]]</f>
        <v>2970</v>
      </c>
      <c r="K49" s="31"/>
      <c r="L49" s="1" t="s">
        <v>92</v>
      </c>
      <c r="M49" s="31" t="s">
        <v>34</v>
      </c>
      <c r="N49" s="31"/>
      <c r="O49" s="25">
        <v>21031001</v>
      </c>
      <c r="P49" s="31"/>
      <c r="Q49" s="31"/>
      <c r="R49" s="31"/>
      <c r="S49" s="31"/>
      <c r="T49" s="31" t="s">
        <v>132</v>
      </c>
      <c r="U49" s="32" t="str">
        <f>LEFT(Table3[[#This Row],[Stage]],FIND(".",Table3[[#This Row],[Stage]],1)-1)</f>
        <v>7</v>
      </c>
      <c r="V49" s="31" t="str">
        <f>VLOOKUP(ABS(Table3[[#This Row],[Type]]),[1]!Table9[#All],2)</f>
        <v>Carpentry</v>
      </c>
    </row>
    <row r="50" spans="1:22" x14ac:dyDescent="0.45">
      <c r="A50" s="55">
        <v>44266</v>
      </c>
      <c r="B50" s="56" t="s">
        <v>131</v>
      </c>
      <c r="C50" s="57">
        <v>7.2</v>
      </c>
      <c r="D50" s="27" t="s">
        <v>81</v>
      </c>
      <c r="E50" s="56" t="s">
        <v>69</v>
      </c>
      <c r="F50" s="58"/>
      <c r="G50" s="29">
        <v>1</v>
      </c>
      <c r="H50" s="58">
        <v>1980</v>
      </c>
      <c r="I50" s="58"/>
      <c r="J50" s="30">
        <f>(Table3[[#This Row],[QTY]]*Table3[[#This Row],[Supplies Cost]])+Table3[[#This Row],[Tax/Fees]]</f>
        <v>1980</v>
      </c>
      <c r="K50" s="31"/>
      <c r="L50" s="1" t="s">
        <v>33</v>
      </c>
      <c r="M50" s="31" t="s">
        <v>34</v>
      </c>
      <c r="N50" s="31"/>
      <c r="O50" s="25">
        <v>21031001</v>
      </c>
      <c r="P50" s="31"/>
      <c r="Q50" s="31"/>
      <c r="R50" s="31">
        <v>7.2240000000000002</v>
      </c>
      <c r="S50" s="31"/>
      <c r="T50" s="31" t="s">
        <v>132</v>
      </c>
      <c r="U50" s="32" t="str">
        <f>LEFT(Table3[[#This Row],[Stage]],FIND(".",Table3[[#This Row],[Stage]],1)-1)</f>
        <v>7</v>
      </c>
      <c r="V50" s="31" t="str">
        <f>VLOOKUP(ABS(Table3[[#This Row],[Type]]),[1]!Table9[#All],2)</f>
        <v>Carpentry</v>
      </c>
    </row>
    <row r="51" spans="1:22" x14ac:dyDescent="0.45">
      <c r="A51" s="24">
        <v>44266</v>
      </c>
      <c r="B51" s="25" t="s">
        <v>133</v>
      </c>
      <c r="C51" s="34">
        <v>13.05</v>
      </c>
      <c r="D51" s="27" t="s">
        <v>81</v>
      </c>
      <c r="E51" s="25" t="s">
        <v>69</v>
      </c>
      <c r="F51" s="28"/>
      <c r="G51" s="29">
        <v>1</v>
      </c>
      <c r="H51" s="28">
        <v>300</v>
      </c>
      <c r="I51" s="28"/>
      <c r="J51" s="30">
        <f>(Table3[[#This Row],[QTY]]*Table3[[#This Row],[Supplies Cost]])+Table3[[#This Row],[Tax/Fees]]</f>
        <v>300</v>
      </c>
      <c r="K51" s="31">
        <v>3270</v>
      </c>
      <c r="L51" s="1" t="s">
        <v>33</v>
      </c>
      <c r="M51" s="31" t="s">
        <v>34</v>
      </c>
      <c r="N51" s="31"/>
      <c r="O51" s="31">
        <v>21031001</v>
      </c>
      <c r="P51" s="31"/>
      <c r="Q51" s="31"/>
      <c r="R51" s="31">
        <v>13.051500000000001</v>
      </c>
      <c r="S51" s="31"/>
      <c r="T51" s="31" t="s">
        <v>53</v>
      </c>
      <c r="U51" s="32" t="str">
        <f>LEFT(Table3[[#This Row],[Stage]],FIND(".",Table3[[#This Row],[Stage]],1)-1)</f>
        <v>13</v>
      </c>
      <c r="V51" s="31" t="str">
        <f>VLOOKUP(ABS(Table3[[#This Row],[Type]]),[1]!Table9[#All],2)</f>
        <v>Electrical</v>
      </c>
    </row>
    <row r="52" spans="1:22" x14ac:dyDescent="0.45">
      <c r="A52" s="24">
        <v>44267</v>
      </c>
      <c r="B52" s="59" t="s">
        <v>134</v>
      </c>
      <c r="C52" s="60">
        <v>3.11</v>
      </c>
      <c r="D52" s="61" t="s">
        <v>81</v>
      </c>
      <c r="E52" s="59" t="s">
        <v>108</v>
      </c>
      <c r="F52" s="62"/>
      <c r="G52" s="63">
        <v>1</v>
      </c>
      <c r="H52" s="62">
        <v>911.8</v>
      </c>
      <c r="I52" s="62"/>
      <c r="J52" s="64">
        <f>(Table3[[#This Row],[QTY]]*Table3[[#This Row],[Supplies Cost]])+Table3[[#This Row],[Tax/Fees]]</f>
        <v>911.8</v>
      </c>
      <c r="K52" s="65">
        <v>912</v>
      </c>
      <c r="L52" s="66" t="s">
        <v>33</v>
      </c>
      <c r="M52" s="31" t="s">
        <v>47</v>
      </c>
      <c r="N52" s="65"/>
      <c r="O52" s="65"/>
      <c r="P52" s="65"/>
      <c r="Q52" s="65"/>
      <c r="R52" s="59">
        <v>5.641</v>
      </c>
      <c r="S52" s="65"/>
      <c r="T52" s="65" t="s">
        <v>109</v>
      </c>
      <c r="U52" s="67" t="str">
        <f>LEFT(Table3[[#This Row],[Stage]],FIND(".",Table3[[#This Row],[Stage]],1)-1)</f>
        <v>3</v>
      </c>
      <c r="V52" s="31" t="str">
        <f>VLOOKUP(ABS(Table3[[#This Row],[Type]]),[1]!Table9[#All],2)</f>
        <v>Masonary</v>
      </c>
    </row>
    <row r="53" spans="1:22" x14ac:dyDescent="0.45">
      <c r="A53" s="24">
        <v>44267</v>
      </c>
      <c r="B53" s="25" t="s">
        <v>135</v>
      </c>
      <c r="C53" s="34">
        <v>3.06</v>
      </c>
      <c r="D53" s="27" t="s">
        <v>81</v>
      </c>
      <c r="E53" s="25" t="s">
        <v>71</v>
      </c>
      <c r="F53" s="28"/>
      <c r="G53" s="49">
        <v>1</v>
      </c>
      <c r="H53" s="28">
        <v>651.83000000000004</v>
      </c>
      <c r="I53" s="28"/>
      <c r="J53" s="30">
        <f>(Table3[[#This Row],[QTY]]*Table3[[#This Row],[Supplies Cost]])+Table3[[#This Row],[Tax/Fees]]</f>
        <v>651.83000000000004</v>
      </c>
      <c r="K53" s="31">
        <v>652</v>
      </c>
      <c r="L53" s="1" t="s">
        <v>33</v>
      </c>
      <c r="M53" s="31" t="s">
        <v>47</v>
      </c>
      <c r="N53" s="31"/>
      <c r="O53" s="31"/>
      <c r="P53" s="31"/>
      <c r="Q53" s="31" t="s">
        <v>102</v>
      </c>
      <c r="R53" s="31">
        <v>5.6414999999999997</v>
      </c>
      <c r="S53" s="31"/>
      <c r="T53" s="31" t="s">
        <v>109</v>
      </c>
      <c r="U53" s="32" t="str">
        <f>LEFT(Table3[[#This Row],[Stage]],FIND(".",Table3[[#This Row],[Stage]],1)-1)</f>
        <v>3</v>
      </c>
      <c r="V53" s="31" t="str">
        <f>VLOOKUP(ABS(Table3[[#This Row],[Type]]),[1]!Table9[#All],2)</f>
        <v>Masonary</v>
      </c>
    </row>
    <row r="54" spans="1:22" x14ac:dyDescent="0.45">
      <c r="A54" s="24">
        <v>44270</v>
      </c>
      <c r="B54" s="68" t="s">
        <v>136</v>
      </c>
      <c r="C54" s="69">
        <v>5.67</v>
      </c>
      <c r="D54" s="27" t="s">
        <v>81</v>
      </c>
      <c r="E54" s="25" t="s">
        <v>137</v>
      </c>
      <c r="F54" s="70"/>
      <c r="G54" s="71">
        <v>1</v>
      </c>
      <c r="H54" s="70">
        <v>928.25</v>
      </c>
      <c r="I54" s="70">
        <f>Table3[[#This Row],[Supplies Cost]]*I12</f>
        <v>0</v>
      </c>
      <c r="J54" s="30">
        <f>(Table3[[#This Row],[QTY]]*Table3[[#This Row],[Supplies Cost]])+Table3[[#This Row],[Tax/Fees]]</f>
        <v>928.25</v>
      </c>
      <c r="K54" s="31">
        <v>928</v>
      </c>
      <c r="L54" s="1" t="s">
        <v>33</v>
      </c>
      <c r="M54" s="31" t="s">
        <v>47</v>
      </c>
      <c r="N54" s="31"/>
      <c r="O54" s="72"/>
      <c r="P54" s="31"/>
      <c r="Q54" s="31"/>
      <c r="R54" s="31">
        <v>5.6710000000000003</v>
      </c>
      <c r="S54" s="72"/>
      <c r="T54" s="31" t="s">
        <v>98</v>
      </c>
      <c r="U54" s="32" t="str">
        <f>LEFT(Table3[[#This Row],[Stage]],FIND(".",Table3[[#This Row],[Stage]],1)-1)</f>
        <v>5</v>
      </c>
      <c r="V54" s="31" t="str">
        <f>VLOOKUP(ABS(Table3[[#This Row],[Type]]),[1]!Table9[#All],2)</f>
        <v>Earthworks</v>
      </c>
    </row>
    <row r="55" spans="1:22" x14ac:dyDescent="0.45">
      <c r="A55" s="24">
        <v>44270</v>
      </c>
      <c r="B55" s="68" t="s">
        <v>138</v>
      </c>
      <c r="C55" s="69">
        <v>5.64</v>
      </c>
      <c r="D55" s="27" t="s">
        <v>81</v>
      </c>
      <c r="E55" s="25" t="s">
        <v>67</v>
      </c>
      <c r="F55" s="70"/>
      <c r="G55" s="71">
        <v>1</v>
      </c>
      <c r="H55" s="70">
        <v>105.75</v>
      </c>
      <c r="I55" s="70"/>
      <c r="J55" s="30">
        <f>(Table3[[#This Row],[QTY]]*Table3[[#This Row],[Supplies Cost]])+Table3[[#This Row],[Tax/Fees]]</f>
        <v>105.75</v>
      </c>
      <c r="K55" s="31">
        <v>106</v>
      </c>
      <c r="L55" s="1" t="s">
        <v>33</v>
      </c>
      <c r="M55" s="31" t="s">
        <v>47</v>
      </c>
      <c r="N55" s="31"/>
      <c r="O55" s="72"/>
      <c r="P55" s="31"/>
      <c r="Q55" s="31" t="s">
        <v>139</v>
      </c>
      <c r="R55" s="31">
        <v>5.6414999999999997</v>
      </c>
      <c r="S55" s="72"/>
      <c r="T55" s="31" t="s">
        <v>98</v>
      </c>
      <c r="U55" s="32" t="str">
        <f>LEFT(Table3[[#This Row],[Stage]],FIND(".",Table3[[#This Row],[Stage]],1)-1)</f>
        <v>5</v>
      </c>
      <c r="V55" s="31" t="str">
        <f>VLOOKUP(ABS(Table3[[#This Row],[Type]]),[1]!Table9[#All],2)</f>
        <v>Earthworks</v>
      </c>
    </row>
    <row r="56" spans="1:22" x14ac:dyDescent="0.45">
      <c r="A56" s="24">
        <v>44271</v>
      </c>
      <c r="B56" s="53" t="s">
        <v>121</v>
      </c>
      <c r="C56" s="34">
        <v>1.1100000000000001</v>
      </c>
      <c r="D56" s="27" t="s">
        <v>122</v>
      </c>
      <c r="E56" s="25" t="s">
        <v>123</v>
      </c>
      <c r="F56" s="28"/>
      <c r="G56" s="29">
        <v>1</v>
      </c>
      <c r="H56" s="28">
        <v>70000</v>
      </c>
      <c r="I56" s="30">
        <f>-218.75</f>
        <v>-218.75</v>
      </c>
      <c r="J56" s="54">
        <f>(Table3[[#This Row],[QTY]]*Table3[[#This Row],[Supplies Cost]])+Table3[[#This Row],[Tax/Fees]]</f>
        <v>69781.25</v>
      </c>
      <c r="K56" s="31">
        <v>69812</v>
      </c>
      <c r="L56" s="1" t="s">
        <v>33</v>
      </c>
      <c r="M56" s="31" t="s">
        <v>124</v>
      </c>
      <c r="N56" s="73"/>
      <c r="O56" s="1"/>
      <c r="P56" s="31"/>
      <c r="Q56" s="31"/>
      <c r="R56" s="31"/>
      <c r="S56" s="31"/>
      <c r="T56" s="31" t="s">
        <v>125</v>
      </c>
      <c r="U56" s="32" t="str">
        <f>LEFT(Table3[[#This Row],[Stage]],FIND(".",Table3[[#This Row],[Stage]],1)-1)</f>
        <v>1</v>
      </c>
      <c r="V56" s="31" t="str">
        <f>VLOOKUP(ABS(Table3[[#This Row],[Type]]),[1]!Table9[#All],2)</f>
        <v>Transfers</v>
      </c>
    </row>
    <row r="57" spans="1:22" x14ac:dyDescent="0.45">
      <c r="A57" s="24">
        <v>44272</v>
      </c>
      <c r="B57" s="59" t="s">
        <v>134</v>
      </c>
      <c r="C57" s="60">
        <v>3.11</v>
      </c>
      <c r="D57" s="61" t="s">
        <v>81</v>
      </c>
      <c r="E57" s="59" t="s">
        <v>108</v>
      </c>
      <c r="F57" s="62"/>
      <c r="G57" s="63">
        <v>1</v>
      </c>
      <c r="H57" s="62">
        <v>911.8</v>
      </c>
      <c r="I57" s="62"/>
      <c r="J57" s="64">
        <f>(Table3[[#This Row],[QTY]]*Table3[[#This Row],[Supplies Cost]])+Table3[[#This Row],[Tax/Fees]]</f>
        <v>911.8</v>
      </c>
      <c r="K57" s="65"/>
      <c r="L57" s="66" t="s">
        <v>33</v>
      </c>
      <c r="M57" s="31" t="s">
        <v>47</v>
      </c>
      <c r="N57" s="65"/>
      <c r="O57" s="65"/>
      <c r="P57" s="65"/>
      <c r="Q57" s="65"/>
      <c r="R57" s="59">
        <v>5.641</v>
      </c>
      <c r="S57" s="65"/>
      <c r="T57" s="65" t="s">
        <v>109</v>
      </c>
      <c r="U57" s="67" t="str">
        <f>LEFT(Table3[[#This Row],[Stage]],FIND(".",Table3[[#This Row],[Stage]],1)-1)</f>
        <v>3</v>
      </c>
      <c r="V57" s="31" t="str">
        <f>VLOOKUP(ABS(Table3[[#This Row],[Type]]),[1]!Table9[#All],2)</f>
        <v>Masonary</v>
      </c>
    </row>
    <row r="58" spans="1:22" x14ac:dyDescent="0.45">
      <c r="A58" s="74">
        <v>44274</v>
      </c>
      <c r="B58" s="75" t="s">
        <v>140</v>
      </c>
      <c r="C58" s="76">
        <v>3.01</v>
      </c>
      <c r="D58" s="77" t="s">
        <v>81</v>
      </c>
      <c r="E58" s="78" t="s">
        <v>67</v>
      </c>
      <c r="F58" s="79"/>
      <c r="G58" s="80">
        <v>1</v>
      </c>
      <c r="H58" s="79">
        <v>5400</v>
      </c>
      <c r="I58" s="79"/>
      <c r="J58" s="81">
        <f>(Table3[[#This Row],[QTY]]*Table3[[#This Row],[Supplies Cost]])+Table3[[#This Row],[Tax/Fees]]</f>
        <v>5400</v>
      </c>
      <c r="K58" s="82"/>
      <c r="L58" s="83" t="s">
        <v>92</v>
      </c>
      <c r="M58" s="82" t="s">
        <v>34</v>
      </c>
      <c r="N58" s="82"/>
      <c r="O58" s="82" t="s">
        <v>141</v>
      </c>
      <c r="P58" s="82"/>
      <c r="Q58" s="82"/>
      <c r="R58" s="82">
        <v>3.0110000000000001</v>
      </c>
      <c r="S58" s="82"/>
      <c r="T58" s="82" t="s">
        <v>109</v>
      </c>
      <c r="U58" s="84" t="str">
        <f>LEFT(Table3[[#This Row],[Stage]],FIND(".",Table3[[#This Row],[Stage]],1)-1)</f>
        <v>3</v>
      </c>
      <c r="V58" s="82" t="str">
        <f>VLOOKUP(ABS(Table3[[#This Row],[Type]]),[1]!Table9[#All],2)</f>
        <v>Masonary</v>
      </c>
    </row>
    <row r="59" spans="1:22" x14ac:dyDescent="0.45">
      <c r="A59" s="74">
        <v>44274</v>
      </c>
      <c r="B59" s="75" t="s">
        <v>140</v>
      </c>
      <c r="C59" s="76">
        <v>3.01</v>
      </c>
      <c r="D59" s="77" t="s">
        <v>81</v>
      </c>
      <c r="E59" s="78" t="s">
        <v>67</v>
      </c>
      <c r="F59" s="79"/>
      <c r="G59" s="80">
        <v>1</v>
      </c>
      <c r="H59" s="79">
        <v>600</v>
      </c>
      <c r="I59" s="79"/>
      <c r="J59" s="81">
        <f>(Table3[[#This Row],[QTY]]*Table3[[#This Row],[Supplies Cost]])+Table3[[#This Row],[Tax/Fees]]</f>
        <v>600</v>
      </c>
      <c r="K59" s="82"/>
      <c r="L59" s="83" t="s">
        <v>92</v>
      </c>
      <c r="M59" s="82" t="s">
        <v>34</v>
      </c>
      <c r="N59" s="82"/>
      <c r="O59" s="82" t="s">
        <v>141</v>
      </c>
      <c r="P59" s="82"/>
      <c r="Q59" s="82"/>
      <c r="R59" s="82">
        <v>3.0110000000000001</v>
      </c>
      <c r="S59" s="82"/>
      <c r="T59" s="82" t="s">
        <v>142</v>
      </c>
      <c r="U59" s="84" t="str">
        <f>LEFT(Table3[[#This Row],[Stage]],FIND(".",Table3[[#This Row],[Stage]],1)-1)</f>
        <v>3</v>
      </c>
      <c r="V59" s="82" t="str">
        <f>VLOOKUP(ABS(Table3[[#This Row],[Type]]),[1]!Table9[#All],2)</f>
        <v>Masonary</v>
      </c>
    </row>
    <row r="60" spans="1:22" x14ac:dyDescent="0.45">
      <c r="A60" s="74">
        <v>44274</v>
      </c>
      <c r="B60" s="75" t="s">
        <v>143</v>
      </c>
      <c r="C60" s="76">
        <v>3.01</v>
      </c>
      <c r="D60" s="77" t="s">
        <v>81</v>
      </c>
      <c r="E60" s="75" t="s">
        <v>67</v>
      </c>
      <c r="F60" s="79"/>
      <c r="G60" s="80">
        <v>1</v>
      </c>
      <c r="H60" s="79">
        <v>3000</v>
      </c>
      <c r="I60" s="79"/>
      <c r="J60" s="85">
        <f>(Table3[[#This Row],[QTY]]*Table3[[#This Row],[Supplies Cost]])+Table3[[#This Row],[Tax/Fees]]</f>
        <v>3000</v>
      </c>
      <c r="K60" s="82">
        <v>12000</v>
      </c>
      <c r="L60" s="83" t="s">
        <v>33</v>
      </c>
      <c r="M60" s="82" t="s">
        <v>34</v>
      </c>
      <c r="N60" s="82"/>
      <c r="O60" s="82" t="s">
        <v>141</v>
      </c>
      <c r="P60" s="82"/>
      <c r="Q60" s="82"/>
      <c r="R60" s="82">
        <v>3.0110000000000001</v>
      </c>
      <c r="S60" s="82"/>
      <c r="T60" s="82" t="s">
        <v>142</v>
      </c>
      <c r="U60" s="84" t="str">
        <f>LEFT(Table3[[#This Row],[Stage]],FIND(".",Table3[[#This Row],[Stage]],1)-1)</f>
        <v>3</v>
      </c>
      <c r="V60" s="82" t="str">
        <f>VLOOKUP(ABS(Table3[[#This Row],[Type]]),[1]!Table9[#All],2)</f>
        <v>Masonary</v>
      </c>
    </row>
    <row r="61" spans="1:22" x14ac:dyDescent="0.45">
      <c r="A61" s="74">
        <v>44274</v>
      </c>
      <c r="B61" s="78" t="s">
        <v>140</v>
      </c>
      <c r="C61" s="76">
        <v>3.01</v>
      </c>
      <c r="D61" s="77" t="s">
        <v>144</v>
      </c>
      <c r="E61" s="78" t="s">
        <v>67</v>
      </c>
      <c r="F61" s="79"/>
      <c r="G61" s="80">
        <v>1</v>
      </c>
      <c r="H61" s="79">
        <v>3000</v>
      </c>
      <c r="I61" s="79"/>
      <c r="J61" s="85">
        <f>(Table3[[#This Row],[QTY]]*Table3[[#This Row],[Supplies Cost]])+Table3[[#This Row],[Tax/Fees]]</f>
        <v>3000</v>
      </c>
      <c r="K61" s="82"/>
      <c r="L61" s="83" t="s">
        <v>92</v>
      </c>
      <c r="M61" s="82" t="s">
        <v>34</v>
      </c>
      <c r="N61" s="82"/>
      <c r="O61" s="82" t="s">
        <v>141</v>
      </c>
      <c r="P61" s="82"/>
      <c r="Q61" s="86"/>
      <c r="R61" s="82">
        <v>3.0110000000000001</v>
      </c>
      <c r="S61" s="82"/>
      <c r="T61" s="82" t="s">
        <v>98</v>
      </c>
      <c r="U61" s="84" t="str">
        <f>LEFT(Table3[[#This Row],[Stage]],FIND(".",Table3[[#This Row],[Stage]],1)-1)</f>
        <v>3</v>
      </c>
      <c r="V61" s="82" t="str">
        <f>VLOOKUP(ABS(Table3[[#This Row],[Type]]),[1]!Table9[#All],2)</f>
        <v>Masonary</v>
      </c>
    </row>
    <row r="62" spans="1:22" x14ac:dyDescent="0.4">
      <c r="A62" s="24">
        <v>44275</v>
      </c>
      <c r="B62" s="87" t="s">
        <v>70</v>
      </c>
      <c r="C62" s="69">
        <v>5.58</v>
      </c>
      <c r="D62" s="88" t="s">
        <v>81</v>
      </c>
      <c r="E62" s="25" t="s">
        <v>71</v>
      </c>
      <c r="F62" s="70"/>
      <c r="G62" s="71">
        <v>1</v>
      </c>
      <c r="H62" s="70">
        <v>119.27</v>
      </c>
      <c r="I62" s="70"/>
      <c r="J62" s="30">
        <f>(Table3[[#This Row],[QTY]]*Table3[[#This Row],[Supplies Cost]])+Table3[[#This Row],[Tax/Fees]]</f>
        <v>119.27</v>
      </c>
      <c r="K62" s="31"/>
      <c r="L62" s="1" t="s">
        <v>33</v>
      </c>
      <c r="M62" s="72" t="s">
        <v>47</v>
      </c>
      <c r="N62" s="31"/>
      <c r="O62" s="72"/>
      <c r="P62" s="31"/>
      <c r="Q62" s="31"/>
      <c r="R62" s="31">
        <v>5.5825500000000003</v>
      </c>
      <c r="S62" s="72"/>
      <c r="T62" s="31" t="s">
        <v>109</v>
      </c>
      <c r="U62" s="32" t="str">
        <f>LEFT(Table3[[#This Row],[Stage]],FIND(".",Table3[[#This Row],[Stage]],1)-1)</f>
        <v>5</v>
      </c>
      <c r="V62" s="31" t="str">
        <f>VLOOKUP(ABS(Table3[[#This Row],[Type]]),[1]!Table9[#All],2)</f>
        <v>Earthworks</v>
      </c>
    </row>
    <row r="63" spans="1:22" x14ac:dyDescent="0.4">
      <c r="A63" s="24">
        <v>44275</v>
      </c>
      <c r="B63" s="87" t="s">
        <v>70</v>
      </c>
      <c r="C63" s="69">
        <v>5.58</v>
      </c>
      <c r="D63" s="27" t="s">
        <v>144</v>
      </c>
      <c r="E63" s="25" t="s">
        <v>71</v>
      </c>
      <c r="F63" s="70"/>
      <c r="G63" s="71">
        <v>1</v>
      </c>
      <c r="H63" s="70">
        <v>2778.89</v>
      </c>
      <c r="I63" s="70"/>
      <c r="J63" s="30">
        <f>(Table3[[#This Row],[QTY]]*Table3[[#This Row],[Supplies Cost]])+Table3[[#This Row],[Tax/Fees]]</f>
        <v>2778.89</v>
      </c>
      <c r="K63" s="31"/>
      <c r="L63" s="1" t="s">
        <v>33</v>
      </c>
      <c r="M63" s="72" t="s">
        <v>47</v>
      </c>
      <c r="N63" s="31"/>
      <c r="O63" s="72"/>
      <c r="P63" s="31"/>
      <c r="Q63" s="31"/>
      <c r="R63" s="31">
        <v>5.5824999999999996</v>
      </c>
      <c r="S63" s="72"/>
      <c r="T63" s="31" t="s">
        <v>109</v>
      </c>
      <c r="U63" s="32" t="str">
        <f>LEFT(Table3[[#This Row],[Stage]],FIND(".",Table3[[#This Row],[Stage]],1)-1)</f>
        <v>5</v>
      </c>
      <c r="V63" s="31" t="str">
        <f>VLOOKUP(ABS(Table3[[#This Row],[Type]]),[1]!Table9[#All],2)</f>
        <v>Earthworks</v>
      </c>
    </row>
    <row r="64" spans="1:22" x14ac:dyDescent="0.45">
      <c r="A64" s="24">
        <v>44278</v>
      </c>
      <c r="B64" s="25" t="s">
        <v>134</v>
      </c>
      <c r="C64" s="34">
        <v>5.64</v>
      </c>
      <c r="D64" s="27" t="s">
        <v>144</v>
      </c>
      <c r="E64" s="25" t="s">
        <v>108</v>
      </c>
      <c r="F64" s="28"/>
      <c r="G64" s="29">
        <v>2</v>
      </c>
      <c r="H64" s="28">
        <v>911.8</v>
      </c>
      <c r="I64" s="70"/>
      <c r="J64" s="30">
        <f>(Table3[[#This Row],[QTY]]*Table3[[#This Row],[Supplies Cost]])+Table3[[#This Row],[Tax/Fees]]</f>
        <v>1823.6</v>
      </c>
      <c r="K64" s="31"/>
      <c r="L64" s="1" t="s">
        <v>33</v>
      </c>
      <c r="M64" s="31" t="s">
        <v>47</v>
      </c>
      <c r="N64" s="31"/>
      <c r="O64" s="72"/>
      <c r="P64" s="31"/>
      <c r="Q64" s="31"/>
      <c r="R64" s="31">
        <v>5.6422499999999998</v>
      </c>
      <c r="S64" s="72"/>
      <c r="T64" s="31" t="s">
        <v>109</v>
      </c>
      <c r="U64" s="32" t="str">
        <f>LEFT(Table3[[#This Row],[Stage]],FIND(".",Table3[[#This Row],[Stage]],1)-1)</f>
        <v>5</v>
      </c>
      <c r="V64" s="31" t="str">
        <f>VLOOKUP(ABS(Table3[[#This Row],[Type]]),[1]!Table9[#All],2)</f>
        <v>Earthworks</v>
      </c>
    </row>
    <row r="65" spans="1:22" x14ac:dyDescent="0.45">
      <c r="A65" s="24">
        <v>44280</v>
      </c>
      <c r="B65" s="68" t="s">
        <v>145</v>
      </c>
      <c r="C65" s="69">
        <v>5.64</v>
      </c>
      <c r="D65" s="27" t="s">
        <v>118</v>
      </c>
      <c r="E65" s="42" t="s">
        <v>64</v>
      </c>
      <c r="F65" s="70"/>
      <c r="G65" s="71">
        <v>1</v>
      </c>
      <c r="H65" s="70">
        <v>2590</v>
      </c>
      <c r="I65" s="70"/>
      <c r="J65" s="30">
        <f>(Table3[[#This Row],[QTY]]*Table3[[#This Row],[Supplies Cost]])+Table3[[#This Row],[Tax/Fees]]</f>
        <v>2590</v>
      </c>
      <c r="K65" s="31"/>
      <c r="L65" s="1" t="s">
        <v>33</v>
      </c>
      <c r="M65" s="72" t="s">
        <v>47</v>
      </c>
      <c r="N65" s="31"/>
      <c r="O65" s="72"/>
      <c r="P65" s="31"/>
      <c r="Q65" s="31"/>
      <c r="R65" s="31">
        <v>5.6423500000000004</v>
      </c>
      <c r="S65" s="72"/>
      <c r="T65" s="31" t="s">
        <v>56</v>
      </c>
      <c r="U65" s="32" t="str">
        <f>LEFT(Table3[[#This Row],[Stage]],FIND(".",Table3[[#This Row],[Stage]],1)-1)</f>
        <v>5</v>
      </c>
      <c r="V65" s="31" t="str">
        <f>VLOOKUP(ABS(Table3[[#This Row],[Type]]),[1]!Table9[#All],2)</f>
        <v>Earthworks</v>
      </c>
    </row>
    <row r="66" spans="1:22" x14ac:dyDescent="0.45">
      <c r="A66" s="24">
        <v>44280</v>
      </c>
      <c r="B66" s="25" t="s">
        <v>134</v>
      </c>
      <c r="C66" s="34">
        <v>5.64</v>
      </c>
      <c r="D66" s="27" t="s">
        <v>144</v>
      </c>
      <c r="E66" t="s">
        <v>108</v>
      </c>
      <c r="F66" s="28"/>
      <c r="G66" s="29">
        <v>2</v>
      </c>
      <c r="H66" s="28">
        <v>911.8</v>
      </c>
      <c r="I66" s="70"/>
      <c r="J66" s="30">
        <f>(Table3[[#This Row],[QTY]]*Table3[[#This Row],[Supplies Cost]])+Table3[[#This Row],[Tax/Fees]]</f>
        <v>1823.6</v>
      </c>
      <c r="K66" s="31"/>
      <c r="L66" s="1" t="s">
        <v>33</v>
      </c>
      <c r="M66" s="31" t="s">
        <v>47</v>
      </c>
      <c r="N66" s="31"/>
      <c r="O66" s="72"/>
      <c r="P66" s="31"/>
      <c r="Q66" s="31"/>
      <c r="R66" s="31">
        <v>5.6422999999999996</v>
      </c>
      <c r="S66" s="72"/>
      <c r="T66" s="31" t="s">
        <v>109</v>
      </c>
      <c r="U66" s="32" t="str">
        <f>LEFT(Table3[[#This Row],[Stage]],FIND(".",Table3[[#This Row],[Stage]],1)-1)</f>
        <v>5</v>
      </c>
      <c r="V66" s="31" t="str">
        <f>VLOOKUP(ABS(Table3[[#This Row],[Type]]),[1]!Table9[#All],2)</f>
        <v>Earthworks</v>
      </c>
    </row>
    <row r="67" spans="1:22" x14ac:dyDescent="0.45">
      <c r="A67" s="24">
        <v>44281</v>
      </c>
      <c r="B67" s="25" t="s">
        <v>135</v>
      </c>
      <c r="C67" s="34">
        <v>3.06</v>
      </c>
      <c r="D67" s="27" t="s">
        <v>81</v>
      </c>
      <c r="E67" s="25" t="s">
        <v>71</v>
      </c>
      <c r="F67" s="28"/>
      <c r="G67" s="49">
        <v>1</v>
      </c>
      <c r="H67" s="28">
        <v>651.83000000000004</v>
      </c>
      <c r="I67" s="28"/>
      <c r="J67" s="30">
        <f>(Table3[[#This Row],[QTY]]*Table3[[#This Row],[Supplies Cost]])+Table3[[#This Row],[Tax/Fees]]</f>
        <v>651.83000000000004</v>
      </c>
      <c r="K67" s="31"/>
      <c r="L67" s="1" t="s">
        <v>33</v>
      </c>
      <c r="M67" s="31" t="s">
        <v>47</v>
      </c>
      <c r="N67" s="31"/>
      <c r="O67" s="1"/>
      <c r="P67" s="31"/>
      <c r="Q67" s="31" t="s">
        <v>102</v>
      </c>
      <c r="R67" s="31">
        <v>5.6425999999999998</v>
      </c>
      <c r="S67" s="31"/>
      <c r="T67" s="31" t="s">
        <v>109</v>
      </c>
      <c r="U67" s="32" t="str">
        <f>LEFT(Table3[[#This Row],[Stage]],FIND(".",Table3[[#This Row],[Stage]],1)-1)</f>
        <v>3</v>
      </c>
      <c r="V67" s="31" t="str">
        <f>VLOOKUP(ABS(Table3[[#This Row],[Type]]),[1]!Table9[#All],2)</f>
        <v>Masonary</v>
      </c>
    </row>
    <row r="68" spans="1:22" x14ac:dyDescent="0.45">
      <c r="A68" s="24">
        <v>44282</v>
      </c>
      <c r="B68" s="89" t="s">
        <v>146</v>
      </c>
      <c r="C68" s="69">
        <v>10.1</v>
      </c>
      <c r="D68" s="90" t="s">
        <v>81</v>
      </c>
      <c r="E68" s="25" t="s">
        <v>71</v>
      </c>
      <c r="F68" s="91"/>
      <c r="G68" s="71">
        <v>0.8</v>
      </c>
      <c r="H68" s="91">
        <v>2692.69</v>
      </c>
      <c r="I68" s="91"/>
      <c r="J68" s="30">
        <f>(Table3[[#This Row],[QTY]]*Table3[[#This Row],[Supplies Cost]])+Table3[[#This Row],[Tax/Fees]]</f>
        <v>2154.152</v>
      </c>
      <c r="K68" s="40"/>
      <c r="L68" s="4" t="s">
        <v>92</v>
      </c>
      <c r="M68" s="40" t="s">
        <v>47</v>
      </c>
      <c r="N68" s="40"/>
      <c r="O68" s="92">
        <v>3272021</v>
      </c>
      <c r="P68" s="40"/>
      <c r="Q68" s="40"/>
      <c r="R68" s="40"/>
      <c r="S68" s="92"/>
      <c r="T68" s="40" t="s">
        <v>50</v>
      </c>
      <c r="U68" s="32" t="str">
        <f>LEFT(Table3[[#This Row],[Stage]],FIND(".",Table3[[#This Row],[Stage]],1)-1)</f>
        <v>10</v>
      </c>
      <c r="V68" s="31" t="str">
        <f>VLOOKUP(ABS(Table3[[#This Row],[Type]]),[1]!Table9[#All],2)</f>
        <v>Plumbing</v>
      </c>
    </row>
    <row r="69" spans="1:22" x14ac:dyDescent="0.45">
      <c r="A69" s="24">
        <v>44282</v>
      </c>
      <c r="B69" s="68" t="s">
        <v>147</v>
      </c>
      <c r="C69" s="69">
        <v>13.1</v>
      </c>
      <c r="D69" s="27" t="s">
        <v>81</v>
      </c>
      <c r="E69" s="25" t="s">
        <v>71</v>
      </c>
      <c r="F69" s="70"/>
      <c r="G69" s="71">
        <v>0.15</v>
      </c>
      <c r="H69" s="70">
        <v>2692.69</v>
      </c>
      <c r="I69" s="70"/>
      <c r="J69" s="30">
        <f>(Table3[[#This Row],[QTY]]*Table3[[#This Row],[Supplies Cost]])+Table3[[#This Row],[Tax/Fees]]</f>
        <v>403.90350000000001</v>
      </c>
      <c r="K69" s="31"/>
      <c r="L69" s="33" t="s">
        <v>92</v>
      </c>
      <c r="M69" s="40" t="s">
        <v>47</v>
      </c>
      <c r="N69" s="31"/>
      <c r="O69" s="72">
        <v>3272021</v>
      </c>
      <c r="P69" s="31"/>
      <c r="Q69" s="31"/>
      <c r="R69" s="31"/>
      <c r="S69" s="72"/>
      <c r="T69" s="31" t="s">
        <v>53</v>
      </c>
      <c r="U69" s="32" t="str">
        <f>LEFT(Table3[[#This Row],[Stage]],FIND(".",Table3[[#This Row],[Stage]],1)-1)</f>
        <v>13</v>
      </c>
      <c r="V69" s="31" t="str">
        <f>VLOOKUP(ABS(Table3[[#This Row],[Type]]),[1]!Table9[#All],2)</f>
        <v>Electrical</v>
      </c>
    </row>
    <row r="70" spans="1:22" x14ac:dyDescent="0.45">
      <c r="A70" s="24">
        <v>44282</v>
      </c>
      <c r="B70" s="68" t="s">
        <v>148</v>
      </c>
      <c r="C70" s="69">
        <v>5.44</v>
      </c>
      <c r="D70" s="27" t="s">
        <v>81</v>
      </c>
      <c r="E70" s="25" t="s">
        <v>71</v>
      </c>
      <c r="F70" s="70"/>
      <c r="G70" s="71">
        <v>0.05</v>
      </c>
      <c r="H70" s="70">
        <v>2692.69</v>
      </c>
      <c r="I70" s="70"/>
      <c r="J70" s="30">
        <f>(Table3[[#This Row],[QTY]]*Table3[[#This Row],[Supplies Cost]])+Table3[[#This Row],[Tax/Fees]]</f>
        <v>134.6345</v>
      </c>
      <c r="K70" s="31">
        <v>2692.69</v>
      </c>
      <c r="L70" s="33" t="s">
        <v>33</v>
      </c>
      <c r="M70" s="31" t="s">
        <v>47</v>
      </c>
      <c r="N70" s="31"/>
      <c r="O70" s="72">
        <v>3272021</v>
      </c>
      <c r="P70" s="31"/>
      <c r="Q70" s="31"/>
      <c r="R70" s="31">
        <v>7.2127499999999998</v>
      </c>
      <c r="S70" s="72"/>
      <c r="T70" s="31" t="s">
        <v>111</v>
      </c>
      <c r="U70" s="32" t="str">
        <f>LEFT(Table3[[#This Row],[Stage]],FIND(".",Table3[[#This Row],[Stage]],1)-1)</f>
        <v>5</v>
      </c>
      <c r="V70" s="31" t="str">
        <f>VLOOKUP(ABS(Table3[[#This Row],[Type]]),[1]!Table9[#All],2)</f>
        <v>Earthworks</v>
      </c>
    </row>
    <row r="71" spans="1:22" x14ac:dyDescent="0.45">
      <c r="A71" s="24">
        <v>44283</v>
      </c>
      <c r="B71" s="59" t="s">
        <v>134</v>
      </c>
      <c r="C71" s="60">
        <v>3.11</v>
      </c>
      <c r="D71" s="61" t="s">
        <v>144</v>
      </c>
      <c r="E71" s="59" t="s">
        <v>108</v>
      </c>
      <c r="F71" s="62"/>
      <c r="G71" s="63">
        <v>1</v>
      </c>
      <c r="H71" s="62">
        <v>911.8</v>
      </c>
      <c r="I71" s="62"/>
      <c r="J71" s="64">
        <f>(Table3[[#This Row],[QTY]]*Table3[[#This Row],[Supplies Cost]])+Table3[[#This Row],[Tax/Fees]]</f>
        <v>911.8</v>
      </c>
      <c r="K71" s="65"/>
      <c r="L71" s="93" t="s">
        <v>33</v>
      </c>
      <c r="M71" s="65" t="s">
        <v>47</v>
      </c>
      <c r="N71" s="65"/>
      <c r="O71" s="65"/>
      <c r="P71" s="65"/>
      <c r="Q71" s="65"/>
      <c r="R71" s="59">
        <v>5.6428000000000003</v>
      </c>
      <c r="S71" s="65"/>
      <c r="T71" s="65" t="s">
        <v>109</v>
      </c>
      <c r="U71" s="67" t="str">
        <f>LEFT(Table3[[#This Row],[Stage]],FIND(".",Table3[[#This Row],[Stage]],1)-1)</f>
        <v>3</v>
      </c>
      <c r="V71" s="31" t="str">
        <f>VLOOKUP(ABS(Table3[[#This Row],[Type]]),[1]!Table9[#All],2)</f>
        <v>Masonary</v>
      </c>
    </row>
    <row r="72" spans="1:22" x14ac:dyDescent="0.45">
      <c r="A72" s="24">
        <v>44284</v>
      </c>
      <c r="B72" s="68" t="s">
        <v>149</v>
      </c>
      <c r="C72" s="69">
        <v>5.44</v>
      </c>
      <c r="D72" s="27" t="s">
        <v>81</v>
      </c>
      <c r="E72" s="25" t="s">
        <v>82</v>
      </c>
      <c r="F72" s="70"/>
      <c r="G72" s="71">
        <v>1</v>
      </c>
      <c r="H72" s="70">
        <v>3522.24</v>
      </c>
      <c r="I72" s="70"/>
      <c r="J72" s="30">
        <f>(Table3[[#This Row],[QTY]]*Table3[[#This Row],[Supplies Cost]])+Table3[[#This Row],[Tax/Fees]]</f>
        <v>3522.24</v>
      </c>
      <c r="K72" s="31"/>
      <c r="L72" s="33" t="s">
        <v>33</v>
      </c>
      <c r="M72" s="72" t="s">
        <v>47</v>
      </c>
      <c r="N72" s="31"/>
      <c r="O72" s="72"/>
      <c r="P72" s="31"/>
      <c r="Q72" s="31"/>
      <c r="R72" s="31">
        <v>5.44285</v>
      </c>
      <c r="S72" s="72"/>
      <c r="T72" s="31" t="s">
        <v>85</v>
      </c>
      <c r="U72" s="32" t="str">
        <f>LEFT(Table3[[#This Row],[Stage]],FIND(".",Table3[[#This Row],[Stage]],1)-1)</f>
        <v>5</v>
      </c>
      <c r="V72" s="31" t="str">
        <f>VLOOKUP(ABS(Table3[[#This Row],[Type]]),[1]!Table9[#All],2)</f>
        <v>Earthworks</v>
      </c>
    </row>
    <row r="73" spans="1:22" x14ac:dyDescent="0.45">
      <c r="A73" s="24">
        <v>44286</v>
      </c>
      <c r="B73" s="25" t="s">
        <v>150</v>
      </c>
      <c r="C73" s="34">
        <v>7.2</v>
      </c>
      <c r="D73" s="27" t="s">
        <v>81</v>
      </c>
      <c r="E73" s="25" t="s">
        <v>69</v>
      </c>
      <c r="F73" s="28"/>
      <c r="G73" s="29">
        <v>4</v>
      </c>
      <c r="H73" s="28">
        <v>375</v>
      </c>
      <c r="I73" s="28"/>
      <c r="J73" s="30">
        <f>(Table3[[#This Row],[QTY]]*Table3[[#This Row],[Supplies Cost]])+Table3[[#This Row],[Tax/Fees]]</f>
        <v>1500</v>
      </c>
      <c r="K73" s="31"/>
      <c r="L73" s="33" t="s">
        <v>33</v>
      </c>
      <c r="M73" s="31" t="s">
        <v>34</v>
      </c>
      <c r="N73" s="31"/>
      <c r="O73" s="25"/>
      <c r="P73" s="31"/>
      <c r="Q73" s="31"/>
      <c r="R73" s="31">
        <v>7.2290000000000001</v>
      </c>
      <c r="S73" s="31"/>
      <c r="T73" s="31" t="s">
        <v>132</v>
      </c>
      <c r="U73" s="32" t="str">
        <f>LEFT(Table3[[#This Row],[Stage]],FIND(".",Table3[[#This Row],[Stage]],1)-1)</f>
        <v>7</v>
      </c>
      <c r="V73" s="31" t="str">
        <f>VLOOKUP(ABS(Table3[[#This Row],[Type]]),[1]!Table9[#All],2)</f>
        <v>Carpentry</v>
      </c>
    </row>
    <row r="74" spans="1:22" x14ac:dyDescent="0.45">
      <c r="A74" s="24">
        <v>44286</v>
      </c>
      <c r="B74" s="25" t="s">
        <v>151</v>
      </c>
      <c r="C74" s="94">
        <v>8.0299999999999994</v>
      </c>
      <c r="D74" s="31" t="s">
        <v>81</v>
      </c>
      <c r="E74" s="25" t="s">
        <v>46</v>
      </c>
      <c r="F74" s="28"/>
      <c r="G74" s="29">
        <v>1</v>
      </c>
      <c r="H74" s="28">
        <v>64.400000000000006</v>
      </c>
      <c r="I74" s="28"/>
      <c r="J74" s="30">
        <f>(Table3[[#This Row],[QTY]]*Table3[[#This Row],[Supplies Cost]])+Table3[[#This Row],[Tax/Fees]]</f>
        <v>64.400000000000006</v>
      </c>
      <c r="K74" s="31"/>
      <c r="L74" s="33" t="s">
        <v>33</v>
      </c>
      <c r="M74" s="31" t="s">
        <v>77</v>
      </c>
      <c r="N74" s="31"/>
      <c r="O74" s="72"/>
      <c r="P74" s="31"/>
      <c r="Q74" s="31" t="s">
        <v>2</v>
      </c>
      <c r="R74" s="31">
        <v>8.0332000000000008</v>
      </c>
      <c r="S74" s="72"/>
      <c r="T74" s="31" t="s">
        <v>60</v>
      </c>
      <c r="U74" s="32" t="str">
        <f>LEFT(Table3[[#This Row],[Stage]],FIND(".",Table3[[#This Row],[Stage]],1)-1)</f>
        <v>8</v>
      </c>
      <c r="V74" s="31" t="str">
        <f>VLOOKUP(ABS(Table3[[#This Row],[Type]]),[1]!Table9[#All],2)</f>
        <v>Administrative</v>
      </c>
    </row>
    <row r="75" spans="1:22" x14ac:dyDescent="0.45">
      <c r="A75" s="24">
        <v>44286</v>
      </c>
      <c r="B75" s="25" t="s">
        <v>152</v>
      </c>
      <c r="C75" s="94">
        <v>3.06</v>
      </c>
      <c r="D75" s="31" t="s">
        <v>118</v>
      </c>
      <c r="E75" s="25" t="s">
        <v>64</v>
      </c>
      <c r="F75" s="28"/>
      <c r="G75" s="29">
        <v>4</v>
      </c>
      <c r="H75" s="28">
        <v>100</v>
      </c>
      <c r="I75" s="28"/>
      <c r="J75" s="30">
        <f>(Table3[[#This Row],[QTY]]*Table3[[#This Row],[Supplies Cost]])+Table3[[#This Row],[Tax/Fees]]</f>
        <v>400</v>
      </c>
      <c r="K75" s="31"/>
      <c r="L75" s="33" t="s">
        <v>92</v>
      </c>
      <c r="M75" s="95" t="s">
        <v>34</v>
      </c>
      <c r="N75" s="31"/>
      <c r="O75" s="72" t="s">
        <v>153</v>
      </c>
      <c r="P75" s="31"/>
      <c r="Q75" s="31"/>
      <c r="R75" s="31"/>
      <c r="S75" s="72"/>
      <c r="T75" s="31" t="s">
        <v>56</v>
      </c>
      <c r="U75" s="32" t="str">
        <f>LEFT(Table3[[#This Row],[Stage]],FIND(".",Table3[[#This Row],[Stage]],1)-1)</f>
        <v>3</v>
      </c>
      <c r="V75" s="31" t="str">
        <f>VLOOKUP(ABS(Table3[[#This Row],[Type]]),[1]!Table9[#All],2)</f>
        <v>Masonary</v>
      </c>
    </row>
    <row r="76" spans="1:22" x14ac:dyDescent="0.45">
      <c r="A76" s="24">
        <v>44286</v>
      </c>
      <c r="B76" s="59" t="s">
        <v>134</v>
      </c>
      <c r="C76" s="60">
        <v>3.11</v>
      </c>
      <c r="D76" s="61" t="s">
        <v>118</v>
      </c>
      <c r="E76" s="59" t="s">
        <v>108</v>
      </c>
      <c r="F76" s="62"/>
      <c r="G76" s="63">
        <v>1</v>
      </c>
      <c r="H76" s="62">
        <v>911.8</v>
      </c>
      <c r="I76" s="62"/>
      <c r="J76" s="64">
        <f>(Table3[[#This Row],[QTY]]*Table3[[#This Row],[Supplies Cost]])+Table3[[#This Row],[Tax/Fees]]</f>
        <v>911.8</v>
      </c>
      <c r="K76" s="65"/>
      <c r="L76" s="93" t="s">
        <v>33</v>
      </c>
      <c r="M76" s="65" t="s">
        <v>47</v>
      </c>
      <c r="N76" s="65"/>
      <c r="O76" s="65"/>
      <c r="P76" s="65"/>
      <c r="Q76" s="65"/>
      <c r="R76" s="59">
        <v>5.6432500000000001</v>
      </c>
      <c r="S76" s="65"/>
      <c r="T76" s="65" t="s">
        <v>109</v>
      </c>
      <c r="U76" s="67" t="str">
        <f>LEFT(Table3[[#This Row],[Stage]],FIND(".",Table3[[#This Row],[Stage]],1)-1)</f>
        <v>3</v>
      </c>
      <c r="V76" s="31" t="str">
        <f>VLOOKUP(ABS(Table3[[#This Row],[Type]]),[1]!Table9[#All],2)</f>
        <v>Masonary</v>
      </c>
    </row>
    <row r="77" spans="1:22" x14ac:dyDescent="0.45">
      <c r="A77" s="24">
        <v>44286</v>
      </c>
      <c r="B77" s="25" t="s">
        <v>154</v>
      </c>
      <c r="C77" s="94">
        <v>3.06</v>
      </c>
      <c r="D77" s="31" t="s">
        <v>118</v>
      </c>
      <c r="E77" s="25" t="s">
        <v>64</v>
      </c>
      <c r="F77" s="28"/>
      <c r="G77" s="29">
        <v>9</v>
      </c>
      <c r="H77" s="28">
        <v>390</v>
      </c>
      <c r="I77" s="28"/>
      <c r="J77" s="30">
        <f>(Table3[[#This Row],[QTY]]*Table3[[#This Row],[Supplies Cost]])+Table3[[#This Row],[Tax/Fees]]</f>
        <v>3510</v>
      </c>
      <c r="K77" s="31"/>
      <c r="L77" s="33" t="s">
        <v>92</v>
      </c>
      <c r="M77" s="96" t="s">
        <v>47</v>
      </c>
      <c r="N77" s="31"/>
      <c r="O77" s="72" t="s">
        <v>153</v>
      </c>
      <c r="P77" s="31"/>
      <c r="Q77" s="31"/>
      <c r="R77" s="31"/>
      <c r="S77" s="72"/>
      <c r="T77" s="31" t="s">
        <v>56</v>
      </c>
      <c r="U77" s="32" t="str">
        <f>LEFT(Table3[[#This Row],[Stage]],FIND(".",Table3[[#This Row],[Stage]],1)-1)</f>
        <v>3</v>
      </c>
      <c r="V77" s="31" t="str">
        <f>VLOOKUP(ABS(Table3[[#This Row],[Type]]),[1]!Table9[#All],2)</f>
        <v>Masonary</v>
      </c>
    </row>
    <row r="78" spans="1:22" x14ac:dyDescent="0.45">
      <c r="A78" s="24">
        <v>44286</v>
      </c>
      <c r="B78" s="25" t="s">
        <v>155</v>
      </c>
      <c r="C78" s="34">
        <v>3.06</v>
      </c>
      <c r="D78" s="31" t="s">
        <v>118</v>
      </c>
      <c r="E78" s="25" t="s">
        <v>71</v>
      </c>
      <c r="F78" s="28"/>
      <c r="G78" s="29">
        <v>1</v>
      </c>
      <c r="H78" s="28">
        <v>651.83000000000004</v>
      </c>
      <c r="I78" s="28"/>
      <c r="J78" s="30">
        <f>(Table3[[#This Row],[QTY]]*Table3[[#This Row],[Supplies Cost]])+Table3[[#This Row],[Tax/Fees]]</f>
        <v>651.83000000000004</v>
      </c>
      <c r="K78" s="31"/>
      <c r="L78" s="33" t="s">
        <v>33</v>
      </c>
      <c r="M78" s="72" t="s">
        <v>47</v>
      </c>
      <c r="N78" s="31"/>
      <c r="O78" s="72"/>
      <c r="P78" s="31"/>
      <c r="Q78" s="31" t="s">
        <v>102</v>
      </c>
      <c r="R78" s="31">
        <v>5.6430499999999997</v>
      </c>
      <c r="S78" s="72"/>
      <c r="T78" s="31" t="s">
        <v>109</v>
      </c>
      <c r="U78" s="32" t="str">
        <f>LEFT(Table3[[#This Row],[Stage]],FIND(".",Table3[[#This Row],[Stage]],1)-1)</f>
        <v>3</v>
      </c>
      <c r="V78" s="31" t="str">
        <f>VLOOKUP(ABS(Table3[[#This Row],[Type]]),[1]!Table9[#All],2)</f>
        <v>Masonary</v>
      </c>
    </row>
    <row r="79" spans="1:22" x14ac:dyDescent="0.45">
      <c r="A79" s="24">
        <v>44287</v>
      </c>
      <c r="B79" s="25" t="s">
        <v>152</v>
      </c>
      <c r="C79" s="94">
        <v>3.06</v>
      </c>
      <c r="D79" s="31" t="s">
        <v>118</v>
      </c>
      <c r="E79" s="25" t="s">
        <v>64</v>
      </c>
      <c r="F79" s="28"/>
      <c r="G79" s="29">
        <v>3.5</v>
      </c>
      <c r="H79" s="28">
        <v>100</v>
      </c>
      <c r="I79" s="28"/>
      <c r="J79" s="30">
        <f>(Table3[[#This Row],[QTY]]*Table3[[#This Row],[Supplies Cost]])+Table3[[#This Row],[Tax/Fees]]</f>
        <v>350</v>
      </c>
      <c r="K79" s="31">
        <v>7900</v>
      </c>
      <c r="L79" s="33" t="s">
        <v>33</v>
      </c>
      <c r="M79" s="96" t="s">
        <v>47</v>
      </c>
      <c r="N79" s="31"/>
      <c r="O79" s="72" t="s">
        <v>153</v>
      </c>
      <c r="P79" s="31"/>
      <c r="Q79" s="31"/>
      <c r="R79" s="31">
        <v>3.0636999999999999</v>
      </c>
      <c r="S79" s="72"/>
      <c r="T79" s="31" t="s">
        <v>56</v>
      </c>
      <c r="U79" s="32" t="str">
        <f>LEFT(Table3[[#This Row],[Stage]],FIND(".",Table3[[#This Row],[Stage]],1)-1)</f>
        <v>3</v>
      </c>
      <c r="V79" s="31" t="str">
        <f>VLOOKUP(ABS(Table3[[#This Row],[Type]]),[1]!Table9[#All],2)</f>
        <v>Masonary</v>
      </c>
    </row>
    <row r="80" spans="1:22" x14ac:dyDescent="0.45">
      <c r="A80" s="24">
        <v>44287</v>
      </c>
      <c r="B80" s="25" t="s">
        <v>156</v>
      </c>
      <c r="C80" s="34">
        <v>3.06</v>
      </c>
      <c r="D80" s="27" t="s">
        <v>118</v>
      </c>
      <c r="E80" s="25" t="s">
        <v>119</v>
      </c>
      <c r="F80" s="28"/>
      <c r="G80" s="29">
        <v>3</v>
      </c>
      <c r="H80" s="28">
        <v>419.81</v>
      </c>
      <c r="I80" s="28">
        <v>-1.5</v>
      </c>
      <c r="J80" s="30">
        <f>(Table3[[#This Row],[QTY]]*Table3[[#This Row],[Supplies Cost]])+Table3[[#This Row],[Tax/Fees]]</f>
        <v>1257.93</v>
      </c>
      <c r="K80" s="31">
        <v>1000002580262</v>
      </c>
      <c r="L80" s="33" t="s">
        <v>33</v>
      </c>
      <c r="M80" s="31" t="s">
        <v>47</v>
      </c>
      <c r="N80" s="31"/>
      <c r="O80" s="25">
        <v>17992</v>
      </c>
      <c r="P80" s="31"/>
      <c r="Q80" s="31" t="s">
        <v>120</v>
      </c>
      <c r="R80" s="31">
        <v>5.5429500000000003</v>
      </c>
      <c r="S80" s="97"/>
      <c r="T80" s="31" t="s">
        <v>98</v>
      </c>
      <c r="U80" s="32" t="str">
        <f>LEFT(Table3[[#This Row],[Stage]],FIND(".",Table3[[#This Row],[Stage]],1)-1)</f>
        <v>3</v>
      </c>
      <c r="V80" s="31" t="str">
        <f>VLOOKUP(ABS(Table3[[#This Row],[Type]]),[1]!Table9[#All],2)</f>
        <v>Masonary</v>
      </c>
    </row>
    <row r="81" spans="1:22" x14ac:dyDescent="0.45">
      <c r="A81" s="24">
        <v>44287</v>
      </c>
      <c r="B81" s="25" t="s">
        <v>154</v>
      </c>
      <c r="C81" s="94">
        <v>3.06</v>
      </c>
      <c r="D81" s="31" t="s">
        <v>118</v>
      </c>
      <c r="E81" t="s">
        <v>64</v>
      </c>
      <c r="F81" s="28"/>
      <c r="G81" s="29">
        <v>6</v>
      </c>
      <c r="H81" s="28">
        <v>390</v>
      </c>
      <c r="I81" s="28"/>
      <c r="J81" s="30">
        <f>(Table3[[#This Row],[QTY]]*Table3[[#This Row],[Supplies Cost]])+Table3[[#This Row],[Tax/Fees]]</f>
        <v>2340</v>
      </c>
      <c r="K81" s="31"/>
      <c r="L81" s="33" t="s">
        <v>92</v>
      </c>
      <c r="M81" s="96" t="s">
        <v>47</v>
      </c>
      <c r="N81" s="31"/>
      <c r="O81" s="72" t="s">
        <v>153</v>
      </c>
      <c r="P81" s="31"/>
      <c r="Q81" s="31"/>
      <c r="R81" s="31"/>
      <c r="S81" s="72"/>
      <c r="T81" s="31" t="s">
        <v>56</v>
      </c>
      <c r="U81" s="32" t="str">
        <f>LEFT(Table3[[#This Row],[Stage]],FIND(".",Table3[[#This Row],[Stage]],1)-1)</f>
        <v>3</v>
      </c>
      <c r="V81" s="31" t="str">
        <f>VLOOKUP(ABS(Table3[[#This Row],[Type]]),[1]!Table9[#All],2)</f>
        <v>Masonary</v>
      </c>
    </row>
    <row r="82" spans="1:22" x14ac:dyDescent="0.45">
      <c r="A82" s="24">
        <v>44287</v>
      </c>
      <c r="B82" s="25" t="s">
        <v>151</v>
      </c>
      <c r="C82" s="94">
        <v>8.0299999999999994</v>
      </c>
      <c r="D82" s="31" t="s">
        <v>144</v>
      </c>
      <c r="E82" s="25" t="s">
        <v>46</v>
      </c>
      <c r="F82" s="28"/>
      <c r="G82" s="29">
        <v>1</v>
      </c>
      <c r="H82" s="28">
        <v>64.400000000000006</v>
      </c>
      <c r="I82" s="28"/>
      <c r="J82" s="30">
        <f>(Table3[[#This Row],[QTY]]*Table3[[#This Row],[Supplies Cost]])+Table3[[#This Row],[Tax/Fees]]</f>
        <v>64.400000000000006</v>
      </c>
      <c r="K82" s="31"/>
      <c r="L82" s="33" t="s">
        <v>33</v>
      </c>
      <c r="M82" s="31" t="s">
        <v>77</v>
      </c>
      <c r="N82" s="31"/>
      <c r="O82" s="31"/>
      <c r="P82" s="31"/>
      <c r="Q82" s="98" t="s">
        <v>157</v>
      </c>
      <c r="R82" s="31">
        <v>8.0353499999999993</v>
      </c>
      <c r="S82" s="31"/>
      <c r="T82" s="98" t="s">
        <v>60</v>
      </c>
      <c r="U82" s="32" t="str">
        <f>LEFT(Table3[[#This Row],[Stage]],FIND(".",Table3[[#This Row],[Stage]],1)-1)</f>
        <v>8</v>
      </c>
      <c r="V82" s="31" t="str">
        <f>VLOOKUP(ABS(Table3[[#This Row],[Type]]),[1]!Table9[#All],2)</f>
        <v>Administrative</v>
      </c>
    </row>
    <row r="83" spans="1:22" x14ac:dyDescent="0.45">
      <c r="A83" s="24">
        <v>44289</v>
      </c>
      <c r="B83" s="25" t="s">
        <v>158</v>
      </c>
      <c r="C83" s="94">
        <v>5.68</v>
      </c>
      <c r="D83" s="31" t="s">
        <v>45</v>
      </c>
      <c r="E83" s="25" t="s">
        <v>159</v>
      </c>
      <c r="F83" s="28"/>
      <c r="G83" s="29">
        <v>20</v>
      </c>
      <c r="H83" s="28">
        <v>100</v>
      </c>
      <c r="I83" s="28"/>
      <c r="J83" s="30">
        <f>(Table3[[#This Row],[QTY]]*Table3[[#This Row],[Supplies Cost]])+Table3[[#This Row],[Tax/Fees]]</f>
        <v>2000</v>
      </c>
      <c r="K83" s="31"/>
      <c r="L83" s="33" t="s">
        <v>33</v>
      </c>
      <c r="M83" s="72" t="s">
        <v>34</v>
      </c>
      <c r="N83" s="31"/>
      <c r="O83" s="72"/>
      <c r="P83" s="31"/>
      <c r="Q83" s="31"/>
      <c r="R83" s="31">
        <v>5.6829999999999998</v>
      </c>
      <c r="S83" s="72"/>
      <c r="T83" s="31" t="s">
        <v>160</v>
      </c>
      <c r="U83" s="32" t="str">
        <f>LEFT(Table3[[#This Row],[Stage]],FIND(".",Table3[[#This Row],[Stage]],1)-1)</f>
        <v>5</v>
      </c>
      <c r="V83" s="31" t="str">
        <f>VLOOKUP(ABS(Table3[[#This Row],[Type]]),[1]!Table9[#All],2)</f>
        <v>Earthworks</v>
      </c>
    </row>
    <row r="84" spans="1:22" x14ac:dyDescent="0.45">
      <c r="A84" s="24">
        <v>44292</v>
      </c>
      <c r="B84" s="99" t="s">
        <v>161</v>
      </c>
      <c r="C84" s="100">
        <v>5.64</v>
      </c>
      <c r="D84" s="101" t="s">
        <v>81</v>
      </c>
      <c r="E84" s="102" t="s">
        <v>108</v>
      </c>
      <c r="F84" s="103"/>
      <c r="G84" s="104">
        <v>1</v>
      </c>
      <c r="H84" s="103">
        <v>0</v>
      </c>
      <c r="I84" s="105"/>
      <c r="J84" s="106">
        <f>(Table3[[#This Row],[QTY]]*Table3[[#This Row],[Supplies Cost]])+Table3[[#This Row],[Tax/Fees]]</f>
        <v>0</v>
      </c>
      <c r="K84" s="96"/>
      <c r="L84" s="107" t="s">
        <v>33</v>
      </c>
      <c r="M84" s="96" t="s">
        <v>47</v>
      </c>
      <c r="N84" s="96"/>
      <c r="O84" s="96"/>
      <c r="P84" s="96"/>
      <c r="Q84" s="96"/>
      <c r="R84" s="96">
        <v>5.6430999999999996</v>
      </c>
      <c r="S84" s="72"/>
      <c r="T84" s="31" t="s">
        <v>109</v>
      </c>
      <c r="U84" s="32" t="str">
        <f>LEFT(Table3[[#This Row],[Stage]],FIND(".",Table3[[#This Row],[Stage]],1)-1)</f>
        <v>5</v>
      </c>
      <c r="V84" s="31" t="str">
        <f>VLOOKUP(ABS(Table3[[#This Row],[Type]]),[1]!Table9[#All],2)</f>
        <v>Earthworks</v>
      </c>
    </row>
    <row r="85" spans="1:22" x14ac:dyDescent="0.45">
      <c r="A85" s="24">
        <v>44292</v>
      </c>
      <c r="B85" s="25" t="s">
        <v>162</v>
      </c>
      <c r="C85" s="94">
        <v>5.67</v>
      </c>
      <c r="D85" s="31" t="s">
        <v>118</v>
      </c>
      <c r="E85" s="25" t="s">
        <v>137</v>
      </c>
      <c r="F85" s="28"/>
      <c r="G85" s="29">
        <v>1</v>
      </c>
      <c r="H85" s="28">
        <v>780</v>
      </c>
      <c r="I85" s="28">
        <v>136.5</v>
      </c>
      <c r="J85" s="30">
        <f>(Table3[[#This Row],[QTY]]*Table3[[#This Row],[Supplies Cost]])+Table3[[#This Row],[Tax/Fees]]</f>
        <v>916.5</v>
      </c>
      <c r="K85" s="31"/>
      <c r="L85" s="33" t="s">
        <v>33</v>
      </c>
      <c r="M85" s="72" t="s">
        <v>47</v>
      </c>
      <c r="N85" s="31"/>
      <c r="O85" s="72"/>
      <c r="P85" s="31"/>
      <c r="Q85" s="31"/>
      <c r="R85" s="31">
        <v>5.6738499999999998</v>
      </c>
      <c r="S85" s="72"/>
      <c r="T85" s="31" t="s">
        <v>98</v>
      </c>
      <c r="U85" s="32" t="str">
        <f>LEFT(Table3[[#This Row],[Stage]],FIND(".",Table3[[#This Row],[Stage]],1)-1)</f>
        <v>5</v>
      </c>
      <c r="V85" s="31" t="str">
        <f>VLOOKUP(ABS(Table3[[#This Row],[Type]]),[1]!Table9[#All],2)</f>
        <v>Earthworks</v>
      </c>
    </row>
    <row r="86" spans="1:22" x14ac:dyDescent="0.45">
      <c r="A86" s="24">
        <v>44292</v>
      </c>
      <c r="B86" s="25" t="s">
        <v>163</v>
      </c>
      <c r="C86" s="94">
        <v>5.64</v>
      </c>
      <c r="D86" s="31" t="s">
        <v>118</v>
      </c>
      <c r="E86" s="25" t="s">
        <v>116</v>
      </c>
      <c r="F86" s="28"/>
      <c r="G86" s="29">
        <v>1</v>
      </c>
      <c r="H86" s="28">
        <v>141</v>
      </c>
      <c r="I86" s="28"/>
      <c r="J86" s="30">
        <f>(Table3[[#This Row],[QTY]]*Table3[[#This Row],[Supplies Cost]])+Table3[[#This Row],[Tax/Fees]]</f>
        <v>141</v>
      </c>
      <c r="K86" s="31"/>
      <c r="L86" s="33" t="s">
        <v>33</v>
      </c>
      <c r="M86" s="72" t="s">
        <v>77</v>
      </c>
      <c r="N86" s="31"/>
      <c r="O86" s="72"/>
      <c r="P86" s="31"/>
      <c r="Q86" s="31" t="s">
        <v>139</v>
      </c>
      <c r="R86" s="31">
        <v>5.6431500000000003</v>
      </c>
      <c r="S86" s="72"/>
      <c r="T86" s="31" t="s">
        <v>98</v>
      </c>
      <c r="U86" s="32" t="str">
        <f>LEFT(Table3[[#This Row],[Stage]],FIND(".",Table3[[#This Row],[Stage]],1)-1)</f>
        <v>5</v>
      </c>
      <c r="V86" s="31" t="str">
        <f>VLOOKUP(ABS(Table3[[#This Row],[Type]]),[1]!Table9[#All],2)</f>
        <v>Earthworks</v>
      </c>
    </row>
    <row r="87" spans="1:22" x14ac:dyDescent="0.45">
      <c r="A87" s="24">
        <v>44293</v>
      </c>
      <c r="B87" s="25" t="s">
        <v>164</v>
      </c>
      <c r="C87" s="34">
        <v>5.64</v>
      </c>
      <c r="D87" s="31" t="s">
        <v>118</v>
      </c>
      <c r="E87" s="25" t="s">
        <v>165</v>
      </c>
      <c r="F87" s="28"/>
      <c r="G87" s="29">
        <v>1</v>
      </c>
      <c r="H87" s="28">
        <v>1904.68</v>
      </c>
      <c r="I87" s="28"/>
      <c r="J87" s="30">
        <f>(Table3[[#This Row],[QTY]]*Table3[[#This Row],[Supplies Cost]])+Table3[[#This Row],[Tax/Fees]]</f>
        <v>1904.68</v>
      </c>
      <c r="K87" s="31"/>
      <c r="L87" s="33" t="s">
        <v>33</v>
      </c>
      <c r="M87" s="96" t="s">
        <v>47</v>
      </c>
      <c r="N87" s="31"/>
      <c r="O87" s="72"/>
      <c r="P87" s="31"/>
      <c r="Q87" s="31" t="s">
        <v>120</v>
      </c>
      <c r="R87" s="31">
        <v>5.6437999999999997</v>
      </c>
      <c r="S87" s="72"/>
      <c r="T87" s="31" t="s">
        <v>109</v>
      </c>
      <c r="U87" s="32" t="str">
        <f>LEFT(Table3[[#This Row],[Stage]],FIND(".",Table3[[#This Row],[Stage]],1)-1)</f>
        <v>5</v>
      </c>
      <c r="V87" s="31" t="str">
        <f>VLOOKUP(ABS(Table3[[#This Row],[Type]]),[1]!Table9[#All],2)</f>
        <v>Earthworks</v>
      </c>
    </row>
    <row r="88" spans="1:22" x14ac:dyDescent="0.45">
      <c r="A88" s="24">
        <v>44294</v>
      </c>
      <c r="B88" s="25" t="s">
        <v>166</v>
      </c>
      <c r="C88" s="94">
        <v>3.06</v>
      </c>
      <c r="D88" s="31" t="s">
        <v>118</v>
      </c>
      <c r="E88" s="25" t="s">
        <v>119</v>
      </c>
      <c r="F88" s="28"/>
      <c r="G88" s="29">
        <v>19</v>
      </c>
      <c r="H88" s="28">
        <v>402.42</v>
      </c>
      <c r="I88" s="28">
        <v>1466.34</v>
      </c>
      <c r="J88" s="30">
        <f>(Table3[[#This Row],[QTY]]*Table3[[#This Row],[Supplies Cost]])+Table3[[#This Row],[Tax/Fees]]</f>
        <v>9112.32</v>
      </c>
      <c r="K88" s="31"/>
      <c r="L88" s="33" t="s">
        <v>92</v>
      </c>
      <c r="M88" s="31" t="s">
        <v>47</v>
      </c>
      <c r="N88" s="31"/>
      <c r="O88" s="25">
        <v>17992</v>
      </c>
      <c r="P88" s="31"/>
      <c r="Q88" s="31" t="s">
        <v>120</v>
      </c>
      <c r="R88" s="31"/>
      <c r="S88" s="72"/>
      <c r="T88" s="31" t="s">
        <v>98</v>
      </c>
      <c r="U88" s="32" t="str">
        <f>LEFT(Table3[[#This Row],[Stage]],FIND(".",Table3[[#This Row],[Stage]],1)-1)</f>
        <v>3</v>
      </c>
      <c r="V88" s="31" t="str">
        <f>VLOOKUP(ABS(Table3[[#This Row],[Type]]),[1]!Table9[#All],2)</f>
        <v>Masonary</v>
      </c>
    </row>
    <row r="89" spans="1:22" x14ac:dyDescent="0.45">
      <c r="A89" s="24">
        <v>44294</v>
      </c>
      <c r="B89" s="25" t="s">
        <v>167</v>
      </c>
      <c r="C89" s="94">
        <v>3.06</v>
      </c>
      <c r="D89" s="31" t="s">
        <v>118</v>
      </c>
      <c r="E89" t="s">
        <v>119</v>
      </c>
      <c r="F89" s="28"/>
      <c r="G89" s="29">
        <v>1</v>
      </c>
      <c r="H89" s="28">
        <v>1380</v>
      </c>
      <c r="I89" s="28"/>
      <c r="J89" s="30">
        <f>(Table3[[#This Row],[QTY]]*Table3[[#This Row],[Supplies Cost]])+Table3[[#This Row],[Tax/Fees]]</f>
        <v>1380</v>
      </c>
      <c r="K89" s="31">
        <v>9845.42</v>
      </c>
      <c r="L89" s="33" t="s">
        <v>33</v>
      </c>
      <c r="M89" s="31" t="s">
        <v>47</v>
      </c>
      <c r="N89" s="31"/>
      <c r="O89" s="25">
        <v>17992</v>
      </c>
      <c r="P89" s="31"/>
      <c r="Q89" s="31" t="s">
        <v>120</v>
      </c>
      <c r="R89" s="31">
        <v>3.06345</v>
      </c>
      <c r="S89" s="72"/>
      <c r="T89" s="31" t="s">
        <v>98</v>
      </c>
      <c r="U89" s="32" t="str">
        <f>LEFT(Table3[[#This Row],[Stage]],FIND(".",Table3[[#This Row],[Stage]],1)-1)</f>
        <v>3</v>
      </c>
      <c r="V89" s="31" t="str">
        <f>VLOOKUP(ABS(Table3[[#This Row],[Type]]),[1]!Table9[#All],2)</f>
        <v>Masonary</v>
      </c>
    </row>
    <row r="90" spans="1:22" x14ac:dyDescent="0.45">
      <c r="A90" s="24">
        <v>44294</v>
      </c>
      <c r="B90" s="25" t="s">
        <v>168</v>
      </c>
      <c r="C90" s="94">
        <v>3.06</v>
      </c>
      <c r="D90" s="31" t="s">
        <v>118</v>
      </c>
      <c r="E90" s="25" t="s">
        <v>119</v>
      </c>
      <c r="F90" s="28"/>
      <c r="G90" s="29">
        <v>1</v>
      </c>
      <c r="H90" s="28">
        <v>500</v>
      </c>
      <c r="I90" s="28"/>
      <c r="J90" s="30">
        <f>(Table3[[#This Row],[QTY]]*Table3[[#This Row],[Supplies Cost]])+Table3[[#This Row],[Tax/Fees]]</f>
        <v>500</v>
      </c>
      <c r="K90" s="31"/>
      <c r="L90" s="33" t="s">
        <v>92</v>
      </c>
      <c r="M90" s="31" t="s">
        <v>47</v>
      </c>
      <c r="N90" s="31"/>
      <c r="O90" s="25">
        <v>17992</v>
      </c>
      <c r="P90" s="31"/>
      <c r="Q90" s="31" t="s">
        <v>120</v>
      </c>
      <c r="R90" s="31"/>
      <c r="S90" s="72"/>
      <c r="T90" s="31" t="s">
        <v>98</v>
      </c>
      <c r="U90" s="32" t="str">
        <f>LEFT(Table3[[#This Row],[Stage]],FIND(".",Table3[[#This Row],[Stage]],1)-1)</f>
        <v>3</v>
      </c>
      <c r="V90" s="31" t="str">
        <f>VLOOKUP(ABS(Table3[[#This Row],[Type]]),[1]!Table9[#All],2)</f>
        <v>Masonary</v>
      </c>
    </row>
    <row r="91" spans="1:22" x14ac:dyDescent="0.45">
      <c r="A91" s="24">
        <v>44294</v>
      </c>
      <c r="B91" s="25" t="s">
        <v>169</v>
      </c>
      <c r="C91" s="94">
        <v>3.06</v>
      </c>
      <c r="D91" s="31" t="s">
        <v>118</v>
      </c>
      <c r="E91" s="25" t="s">
        <v>119</v>
      </c>
      <c r="F91" s="28"/>
      <c r="G91" s="29">
        <v>1</v>
      </c>
      <c r="H91" s="28">
        <v>-1146.9000000000001</v>
      </c>
      <c r="I91" s="28"/>
      <c r="J91" s="30">
        <f>(Table3[[#This Row],[QTY]]*Table3[[#This Row],[Supplies Cost]])+Table3[[#This Row],[Tax/Fees]]</f>
        <v>-1146.9000000000001</v>
      </c>
      <c r="K91" s="31"/>
      <c r="L91" s="33" t="s">
        <v>92</v>
      </c>
      <c r="M91" s="31" t="s">
        <v>47</v>
      </c>
      <c r="N91" s="31"/>
      <c r="O91" s="25">
        <v>17992</v>
      </c>
      <c r="P91" s="31"/>
      <c r="Q91" s="31" t="s">
        <v>120</v>
      </c>
      <c r="R91" s="31"/>
      <c r="S91" s="72"/>
      <c r="T91" s="31" t="s">
        <v>98</v>
      </c>
      <c r="U91" s="32" t="str">
        <f>LEFT(Table3[[#This Row],[Stage]],FIND(".",Table3[[#This Row],[Stage]],1)-1)</f>
        <v>3</v>
      </c>
      <c r="V91" s="31" t="str">
        <f>VLOOKUP(ABS(Table3[[#This Row],[Type]]),[1]!Table9[#All],2)</f>
        <v>Masonary</v>
      </c>
    </row>
    <row r="92" spans="1:22" x14ac:dyDescent="0.45">
      <c r="A92" s="24">
        <v>44294</v>
      </c>
      <c r="B92" s="25" t="s">
        <v>170</v>
      </c>
      <c r="C92" s="94">
        <v>3.06</v>
      </c>
      <c r="D92" s="31" t="s">
        <v>118</v>
      </c>
      <c r="E92" s="25" t="s">
        <v>64</v>
      </c>
      <c r="F92" s="28"/>
      <c r="G92" s="29">
        <v>1</v>
      </c>
      <c r="H92" s="28">
        <v>1300</v>
      </c>
      <c r="I92" s="28"/>
      <c r="J92" s="30">
        <f>(Table3[[#This Row],[QTY]]*Table3[[#This Row],[Supplies Cost]])+Table3[[#This Row],[Tax/Fees]]</f>
        <v>1300</v>
      </c>
      <c r="K92" s="31"/>
      <c r="L92" s="1" t="s">
        <v>92</v>
      </c>
      <c r="M92" s="31" t="s">
        <v>47</v>
      </c>
      <c r="N92" s="31"/>
      <c r="O92" s="72" t="s">
        <v>153</v>
      </c>
      <c r="P92" s="31"/>
      <c r="Q92" s="31"/>
      <c r="R92" s="31"/>
      <c r="S92" s="72"/>
      <c r="T92" s="31" t="s">
        <v>56</v>
      </c>
      <c r="U92" s="32" t="str">
        <f>LEFT(Table3[[#This Row],[Stage]],FIND(".",Table3[[#This Row],[Stage]],1)-1)</f>
        <v>3</v>
      </c>
      <c r="V92" s="31" t="str">
        <f>VLOOKUP(ABS(Table3[[#This Row],[Type]]),[1]!Table9[#All],2)</f>
        <v>Masonary</v>
      </c>
    </row>
    <row r="93" spans="1:22" x14ac:dyDescent="0.45">
      <c r="A93" s="24">
        <v>44294</v>
      </c>
      <c r="B93" s="25" t="s">
        <v>171</v>
      </c>
      <c r="C93" s="34">
        <v>1.1100000000000001</v>
      </c>
      <c r="D93" s="27" t="s">
        <v>122</v>
      </c>
      <c r="E93" s="25" t="s">
        <v>123</v>
      </c>
      <c r="F93" s="28"/>
      <c r="G93" s="29">
        <v>1</v>
      </c>
      <c r="H93" s="28">
        <v>70000</v>
      </c>
      <c r="I93" s="30">
        <f>-218.75</f>
        <v>-218.75</v>
      </c>
      <c r="J93" s="30">
        <f>(Table3[[#This Row],[QTY]]*Table3[[#This Row],[Supplies Cost]])+Table3[[#This Row],[Tax/Fees]]</f>
        <v>69781.25</v>
      </c>
      <c r="K93" s="31"/>
      <c r="L93" s="1" t="s">
        <v>33</v>
      </c>
      <c r="M93" s="31" t="s">
        <v>124</v>
      </c>
      <c r="N93" s="31"/>
      <c r="O93" s="31"/>
      <c r="P93" s="31"/>
      <c r="Q93" s="31"/>
      <c r="R93" s="31"/>
      <c r="S93" s="31"/>
      <c r="T93" s="31" t="s">
        <v>125</v>
      </c>
      <c r="U93" s="32" t="str">
        <f>LEFT(Table3[[#This Row],[Stage]],FIND(".",Table3[[#This Row],[Stage]],1)-1)</f>
        <v>1</v>
      </c>
      <c r="V93" s="31" t="str">
        <f>VLOOKUP(ABS(Table3[[#This Row],[Type]]),[1]!Table9[#All],2)</f>
        <v>Transfers</v>
      </c>
    </row>
    <row r="94" spans="1:22" x14ac:dyDescent="0.45">
      <c r="A94" s="24">
        <v>44295</v>
      </c>
      <c r="B94" s="25" t="s">
        <v>172</v>
      </c>
      <c r="C94" s="34">
        <v>3.01</v>
      </c>
      <c r="D94" s="27" t="s">
        <v>118</v>
      </c>
      <c r="E94" s="25" t="s">
        <v>67</v>
      </c>
      <c r="F94" s="28"/>
      <c r="G94" s="49">
        <v>4</v>
      </c>
      <c r="H94" s="28">
        <v>3000</v>
      </c>
      <c r="I94" s="28"/>
      <c r="J94" s="30">
        <f>(Table3[[#This Row],[QTY]]*Table3[[#This Row],[Supplies Cost]])+Table3[[#This Row],[Tax/Fees]]</f>
        <v>12000</v>
      </c>
      <c r="K94" s="31"/>
      <c r="L94" s="1" t="s">
        <v>33</v>
      </c>
      <c r="M94" s="31" t="s">
        <v>34</v>
      </c>
      <c r="N94" s="31"/>
      <c r="O94" s="31"/>
      <c r="P94" s="31"/>
      <c r="Q94" s="31"/>
      <c r="R94" s="31">
        <v>3.0137499999999999</v>
      </c>
      <c r="S94" s="31"/>
      <c r="T94" s="31" t="s">
        <v>98</v>
      </c>
      <c r="U94" s="32" t="str">
        <f>LEFT(Table3[[#This Row],[Stage]],FIND(".",Table3[[#This Row],[Stage]],1)-1)</f>
        <v>3</v>
      </c>
      <c r="V94" s="31" t="str">
        <f>VLOOKUP(ABS(Table3[[#This Row],[Type]]),[1]!Table9[#All],2)</f>
        <v>Masonary</v>
      </c>
    </row>
    <row r="95" spans="1:22" x14ac:dyDescent="0.45">
      <c r="A95" s="24">
        <v>44295</v>
      </c>
      <c r="B95" s="56" t="s">
        <v>173</v>
      </c>
      <c r="C95" s="57">
        <v>5.64</v>
      </c>
      <c r="D95" s="27" t="s">
        <v>118</v>
      </c>
      <c r="E95" s="25" t="s">
        <v>165</v>
      </c>
      <c r="F95" s="58"/>
      <c r="G95" s="29">
        <v>0</v>
      </c>
      <c r="H95" s="108">
        <v>923.55</v>
      </c>
      <c r="I95" s="58"/>
      <c r="J95" s="30">
        <f>(Table3[[#This Row],[QTY]]*Table3[[#This Row],[Supplies Cost]])+Table3[[#This Row],[Tax/Fees]]</f>
        <v>0</v>
      </c>
      <c r="K95" s="40"/>
      <c r="L95" s="4" t="s">
        <v>33</v>
      </c>
      <c r="M95" s="72" t="s">
        <v>47</v>
      </c>
      <c r="N95" s="40"/>
      <c r="O95" s="92"/>
      <c r="P95" s="40"/>
      <c r="Q95" s="40" t="s">
        <v>174</v>
      </c>
      <c r="R95" s="40">
        <v>5.6439500000000002</v>
      </c>
      <c r="S95" s="92"/>
      <c r="T95" s="31" t="s">
        <v>109</v>
      </c>
      <c r="U95" s="32" t="str">
        <f>LEFT(Table3[[#This Row],[Stage]],FIND(".",Table3[[#This Row],[Stage]],1)-1)</f>
        <v>5</v>
      </c>
      <c r="V95" s="31" t="str">
        <f>VLOOKUP(ABS(Table3[[#This Row],[Type]]),[1]!Table9[#All],2)</f>
        <v>Earthworks</v>
      </c>
    </row>
    <row r="96" spans="1:22" x14ac:dyDescent="0.45">
      <c r="A96" s="24">
        <v>44296</v>
      </c>
      <c r="B96" s="25" t="s">
        <v>175</v>
      </c>
      <c r="C96" s="94">
        <v>5.68</v>
      </c>
      <c r="D96" s="31" t="s">
        <v>45</v>
      </c>
      <c r="E96" s="25" t="s">
        <v>159</v>
      </c>
      <c r="F96" s="28"/>
      <c r="G96" s="29">
        <v>20</v>
      </c>
      <c r="H96" s="28">
        <v>100</v>
      </c>
      <c r="I96" s="28"/>
      <c r="J96" s="30">
        <f>(Table3[[#This Row],[QTY]]*Table3[[#This Row],[Supplies Cost]])+Table3[[#This Row],[Tax/Fees]]</f>
        <v>2000</v>
      </c>
      <c r="K96" s="31"/>
      <c r="L96" s="1" t="s">
        <v>33</v>
      </c>
      <c r="M96" s="31" t="s">
        <v>34</v>
      </c>
      <c r="N96" s="31"/>
      <c r="O96" s="72"/>
      <c r="P96" s="31"/>
      <c r="Q96" s="31" t="s">
        <v>174</v>
      </c>
      <c r="R96" s="31">
        <v>5.6840000000000002</v>
      </c>
      <c r="S96" s="72"/>
      <c r="T96" s="31" t="s">
        <v>160</v>
      </c>
      <c r="U96" s="32" t="str">
        <f>LEFT(Table3[[#This Row],[Stage]],FIND(".",Table3[[#This Row],[Stage]],1)-1)</f>
        <v>5</v>
      </c>
      <c r="V96" s="31" t="str">
        <f>VLOOKUP(ABS(Table3[[#This Row],[Type]]),[1]!Table9[#All],2)</f>
        <v>Earthworks</v>
      </c>
    </row>
    <row r="97" spans="1:22" x14ac:dyDescent="0.45">
      <c r="A97" s="24">
        <v>44298</v>
      </c>
      <c r="B97" s="25" t="s">
        <v>176</v>
      </c>
      <c r="C97" s="34">
        <v>7.36</v>
      </c>
      <c r="D97" s="31" t="s">
        <v>177</v>
      </c>
      <c r="E97" s="25" t="s">
        <v>71</v>
      </c>
      <c r="F97" s="29"/>
      <c r="G97" s="29">
        <v>1</v>
      </c>
      <c r="H97" s="28">
        <v>65.12</v>
      </c>
      <c r="I97" s="30"/>
      <c r="J97" s="30">
        <f>(Table3[[#This Row],[QTY]]*Table3[[#This Row],[Supplies Cost]])+Table3[[#This Row],[Tax/Fees]]</f>
        <v>65.12</v>
      </c>
      <c r="K97" s="31"/>
      <c r="L97" s="1" t="s">
        <v>33</v>
      </c>
      <c r="M97" s="31" t="s">
        <v>47</v>
      </c>
      <c r="N97" s="31"/>
      <c r="O97" s="31"/>
      <c r="P97" s="31"/>
      <c r="Q97" s="98" t="s">
        <v>157</v>
      </c>
      <c r="R97" s="31">
        <v>7.3610949999999997</v>
      </c>
      <c r="S97" s="31"/>
      <c r="T97" s="31" t="s">
        <v>178</v>
      </c>
      <c r="U97" s="32" t="str">
        <f>LEFT(Table3[[#This Row],[Stage]],FIND(".",Table3[[#This Row],[Stage]],1)-1)</f>
        <v>7</v>
      </c>
      <c r="V97" s="31" t="str">
        <f>VLOOKUP(ABS(Table3[[#This Row],[Type]]),[1]!Table9[#All],2)</f>
        <v>Carpentry</v>
      </c>
    </row>
    <row r="98" spans="1:22" x14ac:dyDescent="0.45">
      <c r="A98" s="24">
        <v>44299</v>
      </c>
      <c r="B98" t="s">
        <v>134</v>
      </c>
      <c r="C98" s="34">
        <v>5.64</v>
      </c>
      <c r="D98" s="27" t="s">
        <v>144</v>
      </c>
      <c r="E98" t="s">
        <v>108</v>
      </c>
      <c r="F98" s="28"/>
      <c r="G98" s="29">
        <v>2</v>
      </c>
      <c r="H98" s="28">
        <v>911.8</v>
      </c>
      <c r="I98" s="28"/>
      <c r="J98" s="109">
        <f>(Table3[[#This Row],[QTY]]*Table3[[#This Row],[Supplies Cost]])+Table3[[#This Row],[Tax/Fees]]</f>
        <v>1823.6</v>
      </c>
      <c r="K98" s="31"/>
      <c r="L98" s="33" t="s">
        <v>33</v>
      </c>
      <c r="M98" s="72" t="s">
        <v>47</v>
      </c>
      <c r="N98" s="31"/>
      <c r="O98" s="72"/>
      <c r="P98" s="31"/>
      <c r="Q98" s="40" t="s">
        <v>174</v>
      </c>
      <c r="R98" s="31">
        <v>5.64405</v>
      </c>
      <c r="S98" s="72"/>
      <c r="T98" s="31" t="s">
        <v>109</v>
      </c>
      <c r="U98" s="32" t="str">
        <f>LEFT(Table3[[#This Row],[Stage]],FIND(".",Table3[[#This Row],[Stage]],1)-1)</f>
        <v>5</v>
      </c>
      <c r="V98" s="31" t="str">
        <f>VLOOKUP(ABS(Table3[[#This Row],[Type]]),[1]!Table9[#All],2)</f>
        <v>Earthworks</v>
      </c>
    </row>
    <row r="99" spans="1:22" x14ac:dyDescent="0.45">
      <c r="A99" s="24">
        <v>44300</v>
      </c>
      <c r="B99" s="25" t="s">
        <v>126</v>
      </c>
      <c r="C99" s="34">
        <v>8.0399999999999991</v>
      </c>
      <c r="D99" s="27" t="s">
        <v>45</v>
      </c>
      <c r="E99" s="25" t="s">
        <v>127</v>
      </c>
      <c r="F99" s="28"/>
      <c r="G99" s="29">
        <v>1</v>
      </c>
      <c r="H99" s="28">
        <v>305.5</v>
      </c>
      <c r="I99" s="28"/>
      <c r="J99" s="30">
        <f>(Table3[[#This Row],[QTY]]*Table3[[#This Row],[Supplies Cost]])+Table3[[#This Row],[Tax/Fees]]</f>
        <v>305.5</v>
      </c>
      <c r="K99" s="31"/>
      <c r="L99" s="33" t="s">
        <v>33</v>
      </c>
      <c r="M99" s="31" t="s">
        <v>77</v>
      </c>
      <c r="N99" s="31"/>
      <c r="O99" s="31"/>
      <c r="P99" s="31"/>
      <c r="Q99" s="31" t="s">
        <v>174</v>
      </c>
      <c r="R99" s="31">
        <v>8.0443499999999997</v>
      </c>
      <c r="S99" s="31"/>
      <c r="T99" s="31" t="s">
        <v>129</v>
      </c>
      <c r="U99" s="32" t="str">
        <f>LEFT(Table3[[#This Row],[Stage]],FIND(".",Table3[[#This Row],[Stage]],1)-1)</f>
        <v>8</v>
      </c>
      <c r="V99" s="31" t="str">
        <f>VLOOKUP(ABS(Table3[[#This Row],[Type]]),[1]!Table9[#All],2)</f>
        <v>Administrative</v>
      </c>
    </row>
    <row r="100" spans="1:22" x14ac:dyDescent="0.45">
      <c r="A100" s="24">
        <v>44300</v>
      </c>
      <c r="B100" s="25" t="s">
        <v>179</v>
      </c>
      <c r="C100" s="34">
        <v>7.21</v>
      </c>
      <c r="D100" s="27" t="s">
        <v>118</v>
      </c>
      <c r="E100" s="25" t="s">
        <v>69</v>
      </c>
      <c r="F100" s="28"/>
      <c r="G100" s="29">
        <v>1</v>
      </c>
      <c r="H100" s="28">
        <v>670</v>
      </c>
      <c r="I100" s="28"/>
      <c r="J100" s="30">
        <f>(Table3[[#This Row],[QTY]]*Table3[[#This Row],[Supplies Cost]])+Table3[[#This Row],[Tax/Fees]]</f>
        <v>670</v>
      </c>
      <c r="K100" s="31"/>
      <c r="L100" s="33" t="s">
        <v>92</v>
      </c>
      <c r="M100" s="31" t="s">
        <v>34</v>
      </c>
      <c r="N100" s="31"/>
      <c r="O100" s="25">
        <v>21041401</v>
      </c>
      <c r="P100" s="31"/>
      <c r="Q100" s="31" t="s">
        <v>174</v>
      </c>
      <c r="R100" s="31"/>
      <c r="S100" s="31"/>
      <c r="T100" s="31" t="s">
        <v>111</v>
      </c>
      <c r="U100" s="32" t="str">
        <f>LEFT(Table3[[#This Row],[Stage]],FIND(".",Table3[[#This Row],[Stage]],1)-1)</f>
        <v>7</v>
      </c>
      <c r="V100" s="31" t="str">
        <f>VLOOKUP(ABS(Table3[[#This Row],[Type]]),[1]!Table9[#All],2)</f>
        <v>Carpentry</v>
      </c>
    </row>
    <row r="101" spans="1:22" ht="30.75" x14ac:dyDescent="0.45">
      <c r="A101" s="24">
        <v>44300</v>
      </c>
      <c r="B101" s="25" t="s">
        <v>180</v>
      </c>
      <c r="C101" s="34">
        <v>13.1</v>
      </c>
      <c r="D101" s="27" t="s">
        <v>144</v>
      </c>
      <c r="E101" s="25" t="s">
        <v>69</v>
      </c>
      <c r="F101" s="28"/>
      <c r="G101" s="29">
        <v>1</v>
      </c>
      <c r="H101" s="28">
        <v>1850</v>
      </c>
      <c r="I101" s="28"/>
      <c r="J101" s="30">
        <f>(Table3[[#This Row],[QTY]]*Table3[[#This Row],[Supplies Cost]])+Table3[[#This Row],[Tax/Fees]]</f>
        <v>1850</v>
      </c>
      <c r="K101" s="31"/>
      <c r="L101" s="33" t="s">
        <v>92</v>
      </c>
      <c r="M101" s="31" t="s">
        <v>34</v>
      </c>
      <c r="N101" s="31"/>
      <c r="O101" s="31">
        <v>21041401</v>
      </c>
      <c r="P101" s="31"/>
      <c r="Q101" s="31" t="s">
        <v>174</v>
      </c>
      <c r="R101" s="31"/>
      <c r="S101" s="31"/>
      <c r="T101" s="31" t="s">
        <v>181</v>
      </c>
      <c r="U101" s="32" t="str">
        <f>LEFT(Table3[[#This Row],[Stage]],FIND(".",Table3[[#This Row],[Stage]],1)-1)</f>
        <v>13</v>
      </c>
      <c r="V101" s="31" t="str">
        <f>VLOOKUP(ABS(Table3[[#This Row],[Type]]),[1]!Table9[#All],2)</f>
        <v>Electrical</v>
      </c>
    </row>
    <row r="102" spans="1:22" x14ac:dyDescent="0.45">
      <c r="A102" s="24">
        <v>44300</v>
      </c>
      <c r="B102" s="59" t="s">
        <v>134</v>
      </c>
      <c r="C102" s="34">
        <v>3.11</v>
      </c>
      <c r="D102" s="61" t="s">
        <v>144</v>
      </c>
      <c r="E102" s="59" t="s">
        <v>108</v>
      </c>
      <c r="F102" s="62"/>
      <c r="G102" s="63">
        <v>1</v>
      </c>
      <c r="H102" s="62">
        <v>911.8</v>
      </c>
      <c r="I102" s="62"/>
      <c r="J102" s="64">
        <f>(Table3[[#This Row],[QTY]]*Table3[[#This Row],[Supplies Cost]])+Table3[[#This Row],[Tax/Fees]]</f>
        <v>911.8</v>
      </c>
      <c r="K102" s="65"/>
      <c r="L102" s="93" t="s">
        <v>33</v>
      </c>
      <c r="M102" s="65" t="s">
        <v>47</v>
      </c>
      <c r="N102" s="65"/>
      <c r="O102" s="65"/>
      <c r="P102" s="65"/>
      <c r="Q102" s="65" t="s">
        <v>174</v>
      </c>
      <c r="R102" s="59">
        <v>5.6440999999999999</v>
      </c>
      <c r="S102" s="65"/>
      <c r="T102" s="65" t="s">
        <v>109</v>
      </c>
      <c r="U102" s="67" t="str">
        <f>LEFT(Table3[[#This Row],[Stage]],FIND(".",Table3[[#This Row],[Stage]],1)-1)</f>
        <v>3</v>
      </c>
      <c r="V102" s="31" t="str">
        <f>VLOOKUP(ABS(Table3[[#This Row],[Type]]),[1]!Table9[#All],2)</f>
        <v>Masonary</v>
      </c>
    </row>
    <row r="103" spans="1:22" s="110" customFormat="1" x14ac:dyDescent="0.45">
      <c r="A103" s="24">
        <v>44300</v>
      </c>
      <c r="B103" s="25" t="s">
        <v>182</v>
      </c>
      <c r="C103" s="34">
        <v>10.3</v>
      </c>
      <c r="D103" s="27" t="s">
        <v>144</v>
      </c>
      <c r="E103" s="25" t="s">
        <v>69</v>
      </c>
      <c r="F103" s="28"/>
      <c r="G103" s="29">
        <v>1</v>
      </c>
      <c r="H103" s="28">
        <v>1630</v>
      </c>
      <c r="I103" s="28"/>
      <c r="J103" s="30">
        <f>(Table3[[#This Row],[QTY]]*Table3[[#This Row],[Supplies Cost]])+Table3[[#This Row],[Tax/Fees]]</f>
        <v>1630</v>
      </c>
      <c r="K103" s="31">
        <v>4150</v>
      </c>
      <c r="L103" s="33" t="s">
        <v>33</v>
      </c>
      <c r="M103" s="31" t="s">
        <v>34</v>
      </c>
      <c r="N103" s="31"/>
      <c r="O103" s="25">
        <v>21041401</v>
      </c>
      <c r="P103" s="31"/>
      <c r="Q103" s="31" t="s">
        <v>174</v>
      </c>
      <c r="R103" s="31">
        <v>10.342499999999999</v>
      </c>
      <c r="S103" s="31"/>
      <c r="T103" s="31" t="s">
        <v>50</v>
      </c>
      <c r="U103" s="32" t="str">
        <f>LEFT(Table3[[#This Row],[Stage]],FIND(".",Table3[[#This Row],[Stage]],1)-1)</f>
        <v>10</v>
      </c>
      <c r="V103" s="31" t="str">
        <f>VLOOKUP(ABS(Table3[[#This Row],[Type]]),[1]!Table9[#All],2)</f>
        <v>Plumbing</v>
      </c>
    </row>
    <row r="104" spans="1:22" s="110" customFormat="1" x14ac:dyDescent="0.45">
      <c r="A104" s="24">
        <v>44300</v>
      </c>
      <c r="B104" t="s">
        <v>183</v>
      </c>
      <c r="C104" s="34">
        <v>3.06</v>
      </c>
      <c r="D104" s="27" t="s">
        <v>144</v>
      </c>
      <c r="E104" s="25" t="s">
        <v>71</v>
      </c>
      <c r="F104" s="28"/>
      <c r="G104" s="29">
        <v>1</v>
      </c>
      <c r="H104" s="28">
        <v>651.83000000000004</v>
      </c>
      <c r="I104" s="28"/>
      <c r="J104" s="109">
        <f>(Table3[[#This Row],[QTY]]*Table3[[#This Row],[Supplies Cost]])+Table3[[#This Row],[Tax/Fees]]</f>
        <v>651.83000000000004</v>
      </c>
      <c r="K104" s="31"/>
      <c r="L104" s="33" t="s">
        <v>33</v>
      </c>
      <c r="M104" s="31" t="s">
        <v>47</v>
      </c>
      <c r="N104" s="31"/>
      <c r="O104" s="72"/>
      <c r="P104" s="31"/>
      <c r="Q104" s="40" t="s">
        <v>102</v>
      </c>
      <c r="R104" s="31">
        <v>5.6443000000000003</v>
      </c>
      <c r="S104" s="72"/>
      <c r="T104" s="31" t="s">
        <v>109</v>
      </c>
      <c r="U104" s="32" t="str">
        <f>LEFT(Table3[[#This Row],[Stage]],FIND(".",Table3[[#This Row],[Stage]],1)-1)</f>
        <v>3</v>
      </c>
      <c r="V104" s="31" t="str">
        <f>VLOOKUP(ABS(Table3[[#This Row],[Type]]),[1]!Table9[#All],2)</f>
        <v>Masonary</v>
      </c>
    </row>
    <row r="105" spans="1:22" x14ac:dyDescent="0.45">
      <c r="A105" s="24">
        <v>44302</v>
      </c>
      <c r="B105" s="25" t="s">
        <v>184</v>
      </c>
      <c r="C105" s="34">
        <v>3.06</v>
      </c>
      <c r="D105" s="27" t="s">
        <v>118</v>
      </c>
      <c r="E105" t="s">
        <v>119</v>
      </c>
      <c r="F105" s="29"/>
      <c r="G105" s="29">
        <v>1</v>
      </c>
      <c r="H105" s="28">
        <f>-1205.7-52.23</f>
        <v>-1257.93</v>
      </c>
      <c r="I105" s="30"/>
      <c r="J105" s="30">
        <f>(Table3[[#This Row],[QTY]]*Table3[[#This Row],[Supplies Cost]])+Table3[[#This Row],[Tax/Fees]]</f>
        <v>-1257.93</v>
      </c>
      <c r="K105" s="31"/>
      <c r="L105" s="33" t="s">
        <v>33</v>
      </c>
      <c r="M105" s="31" t="s">
        <v>47</v>
      </c>
      <c r="N105" s="31"/>
      <c r="O105" s="31">
        <v>17992</v>
      </c>
      <c r="P105" s="31"/>
      <c r="Q105" s="31" t="s">
        <v>120</v>
      </c>
      <c r="R105" s="31">
        <v>3.0656500000000002</v>
      </c>
      <c r="S105" s="31"/>
      <c r="T105" s="31" t="s">
        <v>98</v>
      </c>
      <c r="U105" s="32" t="str">
        <f>LEFT(Table3[[#This Row],[Stage]],FIND(".",Table3[[#This Row],[Stage]],1)-1)</f>
        <v>3</v>
      </c>
      <c r="V105" s="31" t="str">
        <f>VLOOKUP(ABS(Table3[[#This Row],[Type]]),[1]!Table9[#All],2)</f>
        <v>Masonary</v>
      </c>
    </row>
    <row r="106" spans="1:22" s="110" customFormat="1" x14ac:dyDescent="0.45">
      <c r="A106" s="24">
        <v>44304</v>
      </c>
      <c r="B106" s="25" t="s">
        <v>185</v>
      </c>
      <c r="C106" s="34">
        <v>5.44</v>
      </c>
      <c r="D106" s="27" t="s">
        <v>45</v>
      </c>
      <c r="E106" s="25" t="s">
        <v>76</v>
      </c>
      <c r="F106" s="28"/>
      <c r="G106" s="29">
        <v>1</v>
      </c>
      <c r="H106" s="28">
        <v>600</v>
      </c>
      <c r="I106" s="28"/>
      <c r="J106" s="30">
        <f>(Table3[[#This Row],[QTY]]*Table3[[#This Row],[Supplies Cost]])+Table3[[#This Row],[Tax/Fees]]</f>
        <v>600</v>
      </c>
      <c r="K106" s="31"/>
      <c r="L106" s="33" t="s">
        <v>33</v>
      </c>
      <c r="M106" s="31" t="s">
        <v>77</v>
      </c>
      <c r="N106" s="31" t="s">
        <v>52</v>
      </c>
      <c r="O106" s="31"/>
      <c r="P106" s="31"/>
      <c r="Q106" s="31" t="s">
        <v>174</v>
      </c>
      <c r="R106" s="31">
        <v>5.4443999999999999</v>
      </c>
      <c r="S106" s="31" t="s">
        <v>186</v>
      </c>
      <c r="T106" s="31" t="s">
        <v>79</v>
      </c>
      <c r="U106" s="32" t="str">
        <f>LEFT(Table3[[#This Row],[Stage]],FIND(".",Table3[[#This Row],[Stage]],1)-1)</f>
        <v>5</v>
      </c>
      <c r="V106" s="31" t="str">
        <f>VLOOKUP(ABS(Table3[[#This Row],[Type]]),[1]!Table9[#All],2)</f>
        <v>Earthworks</v>
      </c>
    </row>
    <row r="107" spans="1:22" s="110" customFormat="1" x14ac:dyDescent="0.45">
      <c r="A107" s="24">
        <v>44304</v>
      </c>
      <c r="B107" s="25" t="s">
        <v>187</v>
      </c>
      <c r="C107" s="34">
        <v>3.1</v>
      </c>
      <c r="D107" s="31" t="s">
        <v>144</v>
      </c>
      <c r="E107" s="25" t="s">
        <v>71</v>
      </c>
      <c r="F107" s="28"/>
      <c r="G107" s="29">
        <v>1</v>
      </c>
      <c r="H107" s="28">
        <v>51.45</v>
      </c>
      <c r="I107" s="28"/>
      <c r="J107" s="30">
        <f>(Table3[[#This Row],[QTY]]*Table3[[#This Row],[Supplies Cost]])+Table3[[#This Row],[Tax/Fees]]</f>
        <v>51.45</v>
      </c>
      <c r="K107" s="31"/>
      <c r="L107" s="1" t="s">
        <v>33</v>
      </c>
      <c r="M107" s="72" t="s">
        <v>47</v>
      </c>
      <c r="N107" s="31"/>
      <c r="O107" s="72"/>
      <c r="P107" s="31"/>
      <c r="Q107" s="31" t="s">
        <v>174</v>
      </c>
      <c r="R107" s="31">
        <v>3.1444999999999999</v>
      </c>
      <c r="S107" s="72"/>
      <c r="T107" s="31" t="s">
        <v>188</v>
      </c>
      <c r="U107" s="32" t="str">
        <f>LEFT(Table3[[#This Row],[Stage]],FIND(".",Table3[[#This Row],[Stage]],1)-1)</f>
        <v>3</v>
      </c>
      <c r="V107" s="31" t="str">
        <f>VLOOKUP(ABS(Table3[[#This Row],[Type]]),[1]!Table9[#All],2)</f>
        <v>Masonary</v>
      </c>
    </row>
    <row r="108" spans="1:22" x14ac:dyDescent="0.45">
      <c r="A108" s="24">
        <v>44305</v>
      </c>
      <c r="B108" s="25" t="s">
        <v>134</v>
      </c>
      <c r="C108" s="34">
        <v>3.11</v>
      </c>
      <c r="D108" s="27" t="s">
        <v>144</v>
      </c>
      <c r="E108" s="25" t="s">
        <v>108</v>
      </c>
      <c r="F108" s="28"/>
      <c r="G108" s="29">
        <v>3</v>
      </c>
      <c r="H108" s="28">
        <v>911.8</v>
      </c>
      <c r="I108" s="28"/>
      <c r="J108" s="30">
        <f>(Table3[[#This Row],[QTY]]*Table3[[#This Row],[Supplies Cost]])+Table3[[#This Row],[Tax/Fees]]</f>
        <v>2735.3999999999996</v>
      </c>
      <c r="K108" s="31"/>
      <c r="L108" s="1" t="s">
        <v>33</v>
      </c>
      <c r="M108" s="72" t="s">
        <v>47</v>
      </c>
      <c r="N108" s="31"/>
      <c r="O108" s="111"/>
      <c r="P108" s="31"/>
      <c r="Q108" s="31" t="s">
        <v>174</v>
      </c>
      <c r="R108" s="31">
        <v>3.1145499999999999</v>
      </c>
      <c r="S108" s="72"/>
      <c r="T108" s="31" t="s">
        <v>109</v>
      </c>
      <c r="U108" s="32" t="str">
        <f>LEFT(Table3[[#This Row],[Stage]],FIND(".",Table3[[#This Row],[Stage]],1)-1)</f>
        <v>3</v>
      </c>
      <c r="V108" s="31" t="str">
        <f>VLOOKUP(ABS(Table3[[#This Row],[Type]]),[1]!Table9[#All],2)</f>
        <v>Masonary</v>
      </c>
    </row>
    <row r="109" spans="1:22" x14ac:dyDescent="0.45">
      <c r="A109" s="24">
        <v>44305</v>
      </c>
      <c r="B109" s="25" t="s">
        <v>189</v>
      </c>
      <c r="C109" s="34">
        <v>3.1</v>
      </c>
      <c r="D109" s="31" t="s">
        <v>144</v>
      </c>
      <c r="E109" s="25" t="s">
        <v>190</v>
      </c>
      <c r="F109" s="28"/>
      <c r="G109" s="29">
        <v>1</v>
      </c>
      <c r="H109" s="28">
        <v>240</v>
      </c>
      <c r="I109" s="28"/>
      <c r="J109" s="30">
        <f>(Table3[[#This Row],[QTY]]*Table3[[#This Row],[Supplies Cost]])+Table3[[#This Row],[Tax/Fees]]</f>
        <v>240</v>
      </c>
      <c r="K109" s="31"/>
      <c r="L109" s="33" t="s">
        <v>33</v>
      </c>
      <c r="M109" s="72" t="s">
        <v>77</v>
      </c>
      <c r="N109" s="31"/>
      <c r="O109" s="72"/>
      <c r="P109" s="31"/>
      <c r="Q109" s="31" t="s">
        <v>174</v>
      </c>
      <c r="R109" s="31">
        <v>3.145</v>
      </c>
      <c r="S109" s="72"/>
      <c r="T109" s="31" t="s">
        <v>79</v>
      </c>
      <c r="U109" s="32" t="str">
        <f>LEFT(Table3[[#This Row],[Stage]],FIND(".",Table3[[#This Row],[Stage]],1)-1)</f>
        <v>3</v>
      </c>
      <c r="V109" s="98" t="str">
        <f>VLOOKUP(ABS(Table3[[#This Row],[Type]]),[1]!Table9[#All],2)</f>
        <v>Masonary</v>
      </c>
    </row>
    <row r="110" spans="1:22" x14ac:dyDescent="0.45">
      <c r="A110" s="24">
        <v>44307</v>
      </c>
      <c r="B110" s="25" t="s">
        <v>191</v>
      </c>
      <c r="C110" s="34">
        <v>3.06</v>
      </c>
      <c r="D110" s="27" t="s">
        <v>144</v>
      </c>
      <c r="E110" s="25" t="s">
        <v>71</v>
      </c>
      <c r="F110" s="28"/>
      <c r="G110" s="29">
        <v>1</v>
      </c>
      <c r="H110" s="28">
        <v>651.83000000000004</v>
      </c>
      <c r="I110" s="28"/>
      <c r="J110" s="30">
        <f>(Table3[[#This Row],[QTY]]*Table3[[#This Row],[Supplies Cost]])+Table3[[#This Row],[Tax/Fees]]</f>
        <v>651.83000000000004</v>
      </c>
      <c r="K110" s="31"/>
      <c r="L110" s="1" t="s">
        <v>33</v>
      </c>
      <c r="M110" s="72" t="s">
        <v>47</v>
      </c>
      <c r="N110" s="31"/>
      <c r="O110" s="72"/>
      <c r="P110" s="31"/>
      <c r="Q110" s="31" t="s">
        <v>102</v>
      </c>
      <c r="R110" s="31">
        <v>5.6445999999999996</v>
      </c>
      <c r="S110" s="72"/>
      <c r="T110" s="31" t="s">
        <v>109</v>
      </c>
      <c r="U110" s="32" t="str">
        <f>LEFT(Table3[[#This Row],[Stage]],FIND(".",Table3[[#This Row],[Stage]],1)-1)</f>
        <v>3</v>
      </c>
      <c r="V110" s="98" t="str">
        <f>VLOOKUP(ABS(Table3[[#This Row],[Type]]),[1]!Table9[#All],2)</f>
        <v>Masonary</v>
      </c>
    </row>
    <row r="111" spans="1:22" x14ac:dyDescent="0.45">
      <c r="A111" s="24">
        <v>44307</v>
      </c>
      <c r="B111" s="25" t="s">
        <v>192</v>
      </c>
      <c r="C111" s="34">
        <v>5.64</v>
      </c>
      <c r="D111" s="27" t="s">
        <v>144</v>
      </c>
      <c r="E111" s="25" t="s">
        <v>71</v>
      </c>
      <c r="F111" s="29"/>
      <c r="G111" s="29">
        <v>1</v>
      </c>
      <c r="H111" s="28">
        <v>312.51</v>
      </c>
      <c r="I111" s="30"/>
      <c r="J111" s="30">
        <f>(Table3[[#This Row],[QTY]]*Table3[[#This Row],[Supplies Cost]])+Table3[[#This Row],[Tax/Fees]]</f>
        <v>312.51</v>
      </c>
      <c r="K111" s="31"/>
      <c r="L111" s="33" t="s">
        <v>33</v>
      </c>
      <c r="M111" s="31" t="s">
        <v>47</v>
      </c>
      <c r="N111" s="31"/>
      <c r="O111" s="31"/>
      <c r="P111" s="31"/>
      <c r="Q111" s="31" t="s">
        <v>157</v>
      </c>
      <c r="R111" s="31">
        <v>5.6446500000000004</v>
      </c>
      <c r="S111" s="31"/>
      <c r="T111" s="31" t="s">
        <v>160</v>
      </c>
      <c r="U111" s="32" t="str">
        <f>LEFT(Table3[[#This Row],[Stage]],FIND(".",Table3[[#This Row],[Stage]],1)-1)</f>
        <v>5</v>
      </c>
      <c r="V111" s="31" t="str">
        <f>VLOOKUP(ABS(Table3[[#This Row],[Type]]),[1]!Table9[#All],2)</f>
        <v>Earthworks</v>
      </c>
    </row>
    <row r="112" spans="1:22" x14ac:dyDescent="0.45">
      <c r="A112" s="24">
        <v>44310</v>
      </c>
      <c r="B112" s="112" t="s">
        <v>193</v>
      </c>
      <c r="C112" s="113">
        <v>5.44</v>
      </c>
      <c r="D112" s="114" t="s">
        <v>81</v>
      </c>
      <c r="E112" s="25" t="s">
        <v>82</v>
      </c>
      <c r="F112" s="115"/>
      <c r="G112" s="116">
        <v>1</v>
      </c>
      <c r="H112" s="115">
        <v>5076.41</v>
      </c>
      <c r="I112" s="115">
        <v>888.37</v>
      </c>
      <c r="J112" s="117">
        <f>(Table3[[#This Row],[QTY]]*Table3[[#This Row],[Supplies Cost]])+Table3[[#This Row],[Tax/Fees]]</f>
        <v>5964.78</v>
      </c>
      <c r="K112" s="98"/>
      <c r="L112" s="118" t="s">
        <v>33</v>
      </c>
      <c r="M112" s="98" t="s">
        <v>47</v>
      </c>
      <c r="N112" s="98" t="s">
        <v>52</v>
      </c>
      <c r="O112" s="98"/>
      <c r="P112" s="98" t="s">
        <v>73</v>
      </c>
      <c r="Q112" s="98" t="s">
        <v>157</v>
      </c>
      <c r="R112" s="98">
        <v>5.4448999999999996</v>
      </c>
      <c r="S112" s="98" t="s">
        <v>84</v>
      </c>
      <c r="T112" s="98" t="s">
        <v>85</v>
      </c>
      <c r="U112" s="32" t="str">
        <f>LEFT(Table3[[#This Row],[Stage]],FIND(".",Table3[[#This Row],[Stage]],1)-1)</f>
        <v>5</v>
      </c>
      <c r="V112" s="98" t="str">
        <f>VLOOKUP(ABS(Table3[[#This Row],[Type]]),[1]!Table9[#All],2)</f>
        <v>Earthworks</v>
      </c>
    </row>
    <row r="113" spans="1:22" s="110" customFormat="1" x14ac:dyDescent="0.45">
      <c r="A113" s="24">
        <v>44310</v>
      </c>
      <c r="B113" s="112" t="s">
        <v>194</v>
      </c>
      <c r="C113" s="113">
        <v>3.06</v>
      </c>
      <c r="D113" s="114" t="s">
        <v>118</v>
      </c>
      <c r="E113" s="56" t="s">
        <v>71</v>
      </c>
      <c r="F113" s="115"/>
      <c r="G113" s="116">
        <v>1</v>
      </c>
      <c r="H113" s="115">
        <v>304.3</v>
      </c>
      <c r="I113" s="115"/>
      <c r="J113" s="117">
        <f>(Table3[[#This Row],[QTY]]*Table3[[#This Row],[Supplies Cost]])+Table3[[#This Row],[Tax/Fees]]</f>
        <v>304.3</v>
      </c>
      <c r="K113" s="98">
        <v>10604.3</v>
      </c>
      <c r="L113" s="118" t="s">
        <v>33</v>
      </c>
      <c r="M113" s="98" t="s">
        <v>47</v>
      </c>
      <c r="N113" s="98"/>
      <c r="O113" s="98" t="s">
        <v>195</v>
      </c>
      <c r="P113" s="98" t="s">
        <v>73</v>
      </c>
      <c r="Q113" s="98" t="s">
        <v>157</v>
      </c>
      <c r="R113" s="98">
        <v>3.0648499999999999</v>
      </c>
      <c r="S113" s="98"/>
      <c r="T113" s="98" t="s">
        <v>160</v>
      </c>
      <c r="U113" s="32" t="str">
        <f>LEFT(Table3[[#This Row],[Stage]],FIND(".",Table3[[#This Row],[Stage]],1)-1)</f>
        <v>3</v>
      </c>
      <c r="V113" s="31" t="str">
        <f>VLOOKUP(ABS(Table3[[#This Row],[Type]]),[1]!Table9[#All],2)</f>
        <v>Masonary</v>
      </c>
    </row>
    <row r="114" spans="1:22" ht="30.75" x14ac:dyDescent="0.45">
      <c r="A114" s="24">
        <v>44310</v>
      </c>
      <c r="B114" s="25" t="s">
        <v>196</v>
      </c>
      <c r="C114" s="34">
        <v>7.3</v>
      </c>
      <c r="D114" s="27" t="s">
        <v>144</v>
      </c>
      <c r="E114" s="25" t="s">
        <v>116</v>
      </c>
      <c r="F114" s="28"/>
      <c r="G114" s="49">
        <v>1</v>
      </c>
      <c r="H114" s="28">
        <v>739.2</v>
      </c>
      <c r="I114" s="28"/>
      <c r="J114" s="30">
        <f>(Table3[[#This Row],[QTY]]*Table3[[#This Row],[Supplies Cost]])+Table3[[#This Row],[Tax/Fees]]</f>
        <v>739.2</v>
      </c>
      <c r="K114" s="31"/>
      <c r="L114" s="1" t="s">
        <v>33</v>
      </c>
      <c r="M114" s="40" t="s">
        <v>77</v>
      </c>
      <c r="N114" s="31"/>
      <c r="O114" s="25"/>
      <c r="P114" s="31"/>
      <c r="Q114" s="31" t="s">
        <v>157</v>
      </c>
      <c r="R114" s="31">
        <v>7.3494999999999999</v>
      </c>
      <c r="S114" s="31"/>
      <c r="T114" s="31" t="s">
        <v>197</v>
      </c>
      <c r="U114" s="32" t="str">
        <f>LEFT(Table3[[#This Row],[Stage]],FIND(".",Table3[[#This Row],[Stage]],1)-1)</f>
        <v>7</v>
      </c>
      <c r="V114" s="31" t="str">
        <f>VLOOKUP(ABS(Table3[[#This Row],[Type]]),[1]!Table9[#All],2)</f>
        <v>Carpentry</v>
      </c>
    </row>
    <row r="115" spans="1:22" x14ac:dyDescent="0.45">
      <c r="A115" s="24">
        <v>44310</v>
      </c>
      <c r="B115" s="112" t="s">
        <v>198</v>
      </c>
      <c r="C115" s="113">
        <v>10.199999999999999</v>
      </c>
      <c r="D115" s="114" t="s">
        <v>199</v>
      </c>
      <c r="E115" s="25" t="s">
        <v>71</v>
      </c>
      <c r="F115" s="115"/>
      <c r="G115" s="116">
        <v>1</v>
      </c>
      <c r="H115" s="115">
        <v>5150</v>
      </c>
      <c r="I115" s="115"/>
      <c r="J115" s="117">
        <f>(Table3[[#This Row],[QTY]]*Table3[[#This Row],[Supplies Cost]])+Table3[[#This Row],[Tax/Fees]]</f>
        <v>5150</v>
      </c>
      <c r="K115" s="98"/>
      <c r="L115" s="118" t="s">
        <v>92</v>
      </c>
      <c r="M115" s="98" t="s">
        <v>47</v>
      </c>
      <c r="N115" s="98"/>
      <c r="O115" s="98" t="s">
        <v>195</v>
      </c>
      <c r="P115" s="98" t="s">
        <v>73</v>
      </c>
      <c r="Q115" s="98" t="s">
        <v>157</v>
      </c>
      <c r="R115" s="98"/>
      <c r="S115" s="98"/>
      <c r="T115" s="98" t="s">
        <v>50</v>
      </c>
      <c r="U115" s="32" t="str">
        <f>LEFT(Table3[[#This Row],[Stage]],FIND(".",Table3[[#This Row],[Stage]],1)-1)</f>
        <v>10</v>
      </c>
      <c r="V115" s="98" t="str">
        <f>VLOOKUP(ABS(Table3[[#This Row],[Type]]),[1]!Table9[#All],2)</f>
        <v>Plumbing</v>
      </c>
    </row>
    <row r="116" spans="1:22" x14ac:dyDescent="0.45">
      <c r="A116" s="24">
        <v>44310</v>
      </c>
      <c r="B116" s="112" t="s">
        <v>200</v>
      </c>
      <c r="C116" s="113">
        <v>13.2</v>
      </c>
      <c r="D116" s="114" t="s">
        <v>199</v>
      </c>
      <c r="E116" s="25" t="s">
        <v>71</v>
      </c>
      <c r="F116" s="115"/>
      <c r="G116" s="116">
        <v>1</v>
      </c>
      <c r="H116" s="115">
        <v>2575</v>
      </c>
      <c r="I116" s="115"/>
      <c r="J116" s="117">
        <f>(Table3[[#This Row],[QTY]]*Table3[[#This Row],[Supplies Cost]])+Table3[[#This Row],[Tax/Fees]]</f>
        <v>2575</v>
      </c>
      <c r="K116" s="98"/>
      <c r="L116" s="118" t="s">
        <v>92</v>
      </c>
      <c r="M116" s="98" t="s">
        <v>47</v>
      </c>
      <c r="N116" s="98"/>
      <c r="O116" s="98" t="s">
        <v>195</v>
      </c>
      <c r="P116" s="98" t="s">
        <v>73</v>
      </c>
      <c r="Q116" s="98" t="s">
        <v>157</v>
      </c>
      <c r="R116" s="98"/>
      <c r="S116" s="98"/>
      <c r="T116" s="98" t="s">
        <v>53</v>
      </c>
      <c r="U116" s="32" t="str">
        <f>LEFT(Table3[[#This Row],[Stage]],FIND(".",Table3[[#This Row],[Stage]],1)-1)</f>
        <v>13</v>
      </c>
      <c r="V116" s="31" t="str">
        <f>VLOOKUP(ABS(Table3[[#This Row],[Type]]),[1]!Table9[#All],2)</f>
        <v>Electrical</v>
      </c>
    </row>
    <row r="117" spans="1:22" ht="15.75" thickBot="1" x14ac:dyDescent="0.5">
      <c r="A117" s="24">
        <v>44310</v>
      </c>
      <c r="B117" s="25" t="s">
        <v>201</v>
      </c>
      <c r="C117" s="34">
        <v>7.3</v>
      </c>
      <c r="D117" s="27" t="s">
        <v>199</v>
      </c>
      <c r="E117" t="s">
        <v>71</v>
      </c>
      <c r="F117" s="28"/>
      <c r="G117" s="49">
        <v>1</v>
      </c>
      <c r="H117" s="28">
        <v>2575</v>
      </c>
      <c r="I117" s="28"/>
      <c r="J117" s="30">
        <f>(Table3[[#This Row],[QTY]]*Table3[[#This Row],[Supplies Cost]])+Table3[[#This Row],[Tax/Fees]]</f>
        <v>2575</v>
      </c>
      <c r="K117" s="31"/>
      <c r="L117" s="33" t="s">
        <v>92</v>
      </c>
      <c r="M117" s="31" t="s">
        <v>47</v>
      </c>
      <c r="N117" s="31"/>
      <c r="O117" s="31" t="s">
        <v>195</v>
      </c>
      <c r="P117" s="31" t="s">
        <v>73</v>
      </c>
      <c r="Q117" s="31" t="s">
        <v>157</v>
      </c>
      <c r="R117" s="31"/>
      <c r="S117" s="31"/>
      <c r="T117" s="31" t="s">
        <v>98</v>
      </c>
      <c r="U117" s="32" t="str">
        <f>LEFT(Table3[[#This Row],[Stage]],FIND(".",Table3[[#This Row],[Stage]],1)-1)</f>
        <v>7</v>
      </c>
      <c r="V117" s="31" t="str">
        <f>VLOOKUP(ABS(Table3[[#This Row],[Type]]),[1]!Table9[#All],2)</f>
        <v>Carpentry</v>
      </c>
    </row>
    <row r="118" spans="1:22" ht="15.75" thickTop="1" x14ac:dyDescent="0.45">
      <c r="A118" s="24">
        <v>44312</v>
      </c>
      <c r="B118" t="s">
        <v>134</v>
      </c>
      <c r="C118" s="34">
        <v>3.11</v>
      </c>
      <c r="D118" s="27" t="s">
        <v>144</v>
      </c>
      <c r="E118" s="25" t="s">
        <v>108</v>
      </c>
      <c r="F118" s="28"/>
      <c r="G118" s="29">
        <v>1</v>
      </c>
      <c r="H118" s="28">
        <v>911.8</v>
      </c>
      <c r="I118" s="28"/>
      <c r="J118" s="30">
        <f>(Table3[[#This Row],[QTY]]*Table3[[#This Row],[Supplies Cost]])+Table3[[#This Row],[Tax/Fees]]</f>
        <v>911.8</v>
      </c>
      <c r="K118" s="31"/>
      <c r="L118" s="1" t="s">
        <v>33</v>
      </c>
      <c r="M118" s="72" t="s">
        <v>47</v>
      </c>
      <c r="N118" s="31"/>
      <c r="O118" s="72"/>
      <c r="P118" s="31"/>
      <c r="Q118" s="119" t="s">
        <v>157</v>
      </c>
      <c r="R118" s="31">
        <v>3.1151</v>
      </c>
      <c r="S118" s="72"/>
      <c r="T118" s="98" t="s">
        <v>109</v>
      </c>
      <c r="U118" s="32" t="str">
        <f>LEFT(Table3[[#This Row],[Stage]],FIND(".",Table3[[#This Row],[Stage]],1)-1)</f>
        <v>3</v>
      </c>
      <c r="V118" s="31" t="str">
        <f>VLOOKUP(ABS(Table3[[#This Row],[Type]]),[1]!Table9[#All],2)</f>
        <v>Masonary</v>
      </c>
    </row>
    <row r="119" spans="1:22" x14ac:dyDescent="0.45">
      <c r="A119" s="24">
        <v>44312</v>
      </c>
      <c r="B119" t="s">
        <v>202</v>
      </c>
      <c r="C119" s="34">
        <v>8.0399999999999991</v>
      </c>
      <c r="D119" s="27" t="s">
        <v>144</v>
      </c>
      <c r="E119" s="25" t="s">
        <v>104</v>
      </c>
      <c r="F119" s="28"/>
      <c r="G119" s="29">
        <v>1</v>
      </c>
      <c r="H119" s="28">
        <v>86.77</v>
      </c>
      <c r="I119" s="28"/>
      <c r="J119" s="30">
        <f>(Table3[[#This Row],[QTY]]*Table3[[#This Row],[Supplies Cost]])+Table3[[#This Row],[Tax/Fees]]</f>
        <v>86.77</v>
      </c>
      <c r="K119" s="31"/>
      <c r="L119" s="1" t="s">
        <v>33</v>
      </c>
      <c r="M119" s="31" t="s">
        <v>77</v>
      </c>
      <c r="N119" s="31"/>
      <c r="O119" s="31"/>
      <c r="P119" s="31"/>
      <c r="Q119" s="98" t="s">
        <v>157</v>
      </c>
      <c r="R119" s="31">
        <v>8.0450499999999998</v>
      </c>
      <c r="S119" s="31"/>
      <c r="T119" s="31" t="s">
        <v>60</v>
      </c>
      <c r="U119" s="32" t="str">
        <f>LEFT(Table3[[#This Row],[Stage]],FIND(".",Table3[[#This Row],[Stage]],1)-1)</f>
        <v>8</v>
      </c>
      <c r="V119" s="31" t="str">
        <f>VLOOKUP(ABS(Table3[[#This Row],[Type]]),[1]!Table9[#All],2)</f>
        <v>Administrative</v>
      </c>
    </row>
    <row r="120" spans="1:22" ht="30.75" x14ac:dyDescent="0.45">
      <c r="A120" s="24">
        <v>44312</v>
      </c>
      <c r="B120" t="s">
        <v>203</v>
      </c>
      <c r="C120" s="34">
        <v>7.3</v>
      </c>
      <c r="D120" s="27" t="s">
        <v>199</v>
      </c>
      <c r="E120" s="25" t="s">
        <v>204</v>
      </c>
      <c r="F120" s="28"/>
      <c r="G120" s="49">
        <v>30</v>
      </c>
      <c r="H120" s="28">
        <v>58.74</v>
      </c>
      <c r="I120" s="28">
        <v>328.3</v>
      </c>
      <c r="J120" s="30">
        <f>(Table3[[#This Row],[QTY]]*Table3[[#This Row],[Supplies Cost]])+Table3[[#This Row],[Tax/Fees]]</f>
        <v>2090.5</v>
      </c>
      <c r="K120" s="31"/>
      <c r="L120" s="1" t="s">
        <v>33</v>
      </c>
      <c r="M120" s="31" t="s">
        <v>47</v>
      </c>
      <c r="N120" s="31"/>
      <c r="O120" s="31" t="s">
        <v>195</v>
      </c>
      <c r="P120" s="31" t="s">
        <v>73</v>
      </c>
      <c r="Q120" s="31" t="s">
        <v>157</v>
      </c>
      <c r="R120" s="31">
        <v>7.35</v>
      </c>
      <c r="S120" s="31"/>
      <c r="T120" s="31" t="s">
        <v>197</v>
      </c>
      <c r="U120" s="32" t="str">
        <f>LEFT(Table3[[#This Row],[Stage]],FIND(".",Table3[[#This Row],[Stage]],1)-1)</f>
        <v>7</v>
      </c>
      <c r="V120" s="98" t="str">
        <f>VLOOKUP(ABS(Table3[[#This Row],[Type]]),[1]!Table9[#All],2)</f>
        <v>Carpentry</v>
      </c>
    </row>
    <row r="121" spans="1:22" x14ac:dyDescent="0.45">
      <c r="A121" s="24">
        <v>44316</v>
      </c>
      <c r="B121" s="112" t="s">
        <v>205</v>
      </c>
      <c r="C121" s="113">
        <v>5.44</v>
      </c>
      <c r="D121" s="114" t="s">
        <v>81</v>
      </c>
      <c r="E121" s="25" t="s">
        <v>82</v>
      </c>
      <c r="F121" s="115"/>
      <c r="G121" s="116">
        <v>1</v>
      </c>
      <c r="H121" s="115">
        <v>111.04</v>
      </c>
      <c r="I121" s="115"/>
      <c r="J121" s="117">
        <f>(Table3[[#This Row],[QTY]]*Table3[[#This Row],[Supplies Cost]])+Table3[[#This Row],[Tax/Fees]]</f>
        <v>111.04</v>
      </c>
      <c r="K121" s="98"/>
      <c r="L121" s="118" t="s">
        <v>33</v>
      </c>
      <c r="M121" s="98" t="s">
        <v>47</v>
      </c>
      <c r="N121" s="98" t="s">
        <v>52</v>
      </c>
      <c r="O121" s="98"/>
      <c r="P121" s="98" t="s">
        <v>73</v>
      </c>
      <c r="Q121" s="98" t="s">
        <v>157</v>
      </c>
      <c r="R121" s="98">
        <v>5.4452499999999997</v>
      </c>
      <c r="S121" s="98"/>
      <c r="T121" s="98" t="s">
        <v>109</v>
      </c>
      <c r="U121" s="32" t="str">
        <f>LEFT(Table3[[#This Row],[Stage]],FIND(".",Table3[[#This Row],[Stage]],1)-1)</f>
        <v>5</v>
      </c>
      <c r="V121" s="31" t="str">
        <f>VLOOKUP(ABS(Table3[[#This Row],[Type]]),[1]!Table9[#All],2)</f>
        <v>Earthworks</v>
      </c>
    </row>
    <row r="122" spans="1:22" x14ac:dyDescent="0.45">
      <c r="A122" s="24">
        <v>44316</v>
      </c>
      <c r="B122" s="112" t="s">
        <v>206</v>
      </c>
      <c r="C122" s="113">
        <v>3.06</v>
      </c>
      <c r="D122" s="114" t="s">
        <v>118</v>
      </c>
      <c r="E122" s="112" t="s">
        <v>207</v>
      </c>
      <c r="F122" s="115"/>
      <c r="G122" s="116">
        <v>1</v>
      </c>
      <c r="H122" s="115">
        <v>733.68</v>
      </c>
      <c r="I122" s="115"/>
      <c r="J122" s="117">
        <f>(Table3[[#This Row],[QTY]]*Table3[[#This Row],[Supplies Cost]])+Table3[[#This Row],[Tax/Fees]]</f>
        <v>733.68</v>
      </c>
      <c r="K122" s="98"/>
      <c r="L122" s="118" t="s">
        <v>33</v>
      </c>
      <c r="M122" s="98" t="s">
        <v>47</v>
      </c>
      <c r="N122" s="98"/>
      <c r="O122" s="98"/>
      <c r="P122" s="98" t="s">
        <v>208</v>
      </c>
      <c r="Q122" s="98" t="s">
        <v>157</v>
      </c>
      <c r="R122" s="98">
        <v>3.0651999999999999</v>
      </c>
      <c r="S122" s="98"/>
      <c r="T122" s="98" t="s">
        <v>109</v>
      </c>
      <c r="U122" s="32" t="str">
        <f>LEFT(Table3[[#This Row],[Stage]],FIND(".",Table3[[#This Row],[Stage]],1)-1)</f>
        <v>3</v>
      </c>
      <c r="V122" s="31" t="str">
        <f>VLOOKUP(ABS(Table3[[#This Row],[Type]]),[1]!Table9[#All],2)</f>
        <v>Masonary</v>
      </c>
    </row>
    <row r="123" spans="1:22" x14ac:dyDescent="0.45">
      <c r="A123" s="24">
        <v>44316</v>
      </c>
      <c r="B123" s="25" t="s">
        <v>209</v>
      </c>
      <c r="C123" s="34">
        <v>3.01</v>
      </c>
      <c r="D123" s="27" t="s">
        <v>144</v>
      </c>
      <c r="E123" s="25" t="s">
        <v>67</v>
      </c>
      <c r="F123" s="28"/>
      <c r="G123" s="29">
        <v>2</v>
      </c>
      <c r="H123" s="28">
        <v>61.08</v>
      </c>
      <c r="I123" s="28">
        <f>10.69*2</f>
        <v>21.38</v>
      </c>
      <c r="J123" s="30">
        <f>(Table3[[#This Row],[QTY]]*Table3[[#This Row],[Supplies Cost]])+Table3[[#This Row],[Tax/Fees]]</f>
        <v>143.54</v>
      </c>
      <c r="K123" s="31"/>
      <c r="L123" s="33" t="s">
        <v>33</v>
      </c>
      <c r="M123" s="31" t="s">
        <v>47</v>
      </c>
      <c r="N123" s="31"/>
      <c r="O123" s="31"/>
      <c r="P123" s="31"/>
      <c r="Q123" s="31" t="s">
        <v>102</v>
      </c>
      <c r="R123" s="31">
        <v>3.0156999999999998</v>
      </c>
      <c r="S123" s="31"/>
      <c r="T123" s="31" t="s">
        <v>109</v>
      </c>
      <c r="U123" s="32" t="str">
        <f>LEFT(Table3[[#This Row],[Stage]],FIND(".",Table3[[#This Row],[Stage]],1)-1)</f>
        <v>3</v>
      </c>
      <c r="V123" s="31" t="str">
        <f>VLOOKUP(ABS(Table3[[#This Row],[Type]]),[1]!Table9[#All],2)</f>
        <v>Masonary</v>
      </c>
    </row>
    <row r="124" spans="1:22" x14ac:dyDescent="0.45">
      <c r="A124" s="24">
        <v>44316</v>
      </c>
      <c r="B124" s="25" t="s">
        <v>191</v>
      </c>
      <c r="C124" s="34">
        <v>3.06</v>
      </c>
      <c r="D124" s="27" t="s">
        <v>144</v>
      </c>
      <c r="E124" s="25" t="s">
        <v>71</v>
      </c>
      <c r="F124" s="28"/>
      <c r="G124" s="29">
        <v>1</v>
      </c>
      <c r="H124" s="28">
        <v>651.83000000000004</v>
      </c>
      <c r="I124" s="28"/>
      <c r="J124" s="30">
        <f>(Table3[[#This Row],[QTY]]*Table3[[#This Row],[Supplies Cost]])+Table3[[#This Row],[Tax/Fees]]</f>
        <v>651.83000000000004</v>
      </c>
      <c r="K124" s="31"/>
      <c r="L124" s="33" t="s">
        <v>33</v>
      </c>
      <c r="M124" s="72" t="s">
        <v>47</v>
      </c>
      <c r="N124" s="31"/>
      <c r="O124" s="72"/>
      <c r="P124" s="31"/>
      <c r="Q124" s="31" t="s">
        <v>102</v>
      </c>
      <c r="R124" s="31">
        <v>5.6451500000000001</v>
      </c>
      <c r="S124" s="72"/>
      <c r="T124" s="98" t="s">
        <v>109</v>
      </c>
      <c r="U124" s="32" t="str">
        <f>LEFT(Table3[[#This Row],[Stage]],FIND(".",Table3[[#This Row],[Stage]],1)-1)</f>
        <v>3</v>
      </c>
      <c r="V124" s="31" t="str">
        <f>VLOOKUP(ABS(Table3[[#This Row],[Type]]),[1]!Table9[#All],2)</f>
        <v>Masonary</v>
      </c>
    </row>
    <row r="125" spans="1:22" x14ac:dyDescent="0.45">
      <c r="A125" s="24">
        <v>44317</v>
      </c>
      <c r="B125" s="25" t="s">
        <v>210</v>
      </c>
      <c r="C125" s="94">
        <v>8.0299999999999994</v>
      </c>
      <c r="D125" s="31" t="s">
        <v>45</v>
      </c>
      <c r="E125" s="25" t="s">
        <v>211</v>
      </c>
      <c r="F125" s="28"/>
      <c r="G125" s="29">
        <v>1</v>
      </c>
      <c r="H125" s="28">
        <v>100</v>
      </c>
      <c r="I125" s="28"/>
      <c r="J125" s="30">
        <f>(Table3[[#This Row],[QTY]]*Table3[[#This Row],[Supplies Cost]])+Table3[[#This Row],[Tax/Fees]]</f>
        <v>100</v>
      </c>
      <c r="K125" s="31"/>
      <c r="L125" s="33" t="s">
        <v>33</v>
      </c>
      <c r="M125" s="72" t="s">
        <v>47</v>
      </c>
      <c r="N125" s="31"/>
      <c r="O125" s="31"/>
      <c r="P125" s="31"/>
      <c r="Q125" s="98" t="s">
        <v>157</v>
      </c>
      <c r="R125" s="31">
        <v>8.0352999999999994</v>
      </c>
      <c r="S125" s="31"/>
      <c r="T125" s="98" t="s">
        <v>60</v>
      </c>
      <c r="U125" s="32" t="str">
        <f>LEFT(Table3[[#This Row],[Stage]],FIND(".",Table3[[#This Row],[Stage]],1)-1)</f>
        <v>8</v>
      </c>
      <c r="V125" s="31" t="str">
        <f>VLOOKUP(ABS(Table3[[#This Row],[Type]]),[1]!Table9[#All],2)</f>
        <v>Administrative</v>
      </c>
    </row>
    <row r="126" spans="1:22" x14ac:dyDescent="0.45">
      <c r="A126" s="24">
        <v>44322</v>
      </c>
      <c r="B126" s="25" t="s">
        <v>212</v>
      </c>
      <c r="C126" s="34">
        <v>7.21</v>
      </c>
      <c r="D126" s="27" t="s">
        <v>213</v>
      </c>
      <c r="E126" s="25" t="s">
        <v>69</v>
      </c>
      <c r="F126" s="28"/>
      <c r="G126" s="29">
        <v>1</v>
      </c>
      <c r="H126" s="28">
        <v>175</v>
      </c>
      <c r="I126" s="28"/>
      <c r="J126" s="30">
        <f>(Table3[[#This Row],[QTY]]*Table3[[#This Row],[Supplies Cost]])+Table3[[#This Row],[Tax/Fees]]</f>
        <v>175</v>
      </c>
      <c r="K126" s="31"/>
      <c r="L126" s="33" t="s">
        <v>92</v>
      </c>
      <c r="M126" s="31" t="s">
        <v>34</v>
      </c>
      <c r="N126" s="31"/>
      <c r="O126" s="25">
        <v>21050601</v>
      </c>
      <c r="P126" s="31"/>
      <c r="Q126" s="31" t="s">
        <v>157</v>
      </c>
      <c r="R126" s="31"/>
      <c r="S126" s="31"/>
      <c r="T126" s="120" t="s">
        <v>111</v>
      </c>
      <c r="U126" s="32" t="str">
        <f>LEFT(Table3[[#This Row],[Stage]],FIND(".",Table3[[#This Row],[Stage]],1)-1)</f>
        <v>7</v>
      </c>
      <c r="V126" s="31" t="str">
        <f>VLOOKUP(ABS(Table3[[#This Row],[Type]]),[1]!Table9[#All],2)</f>
        <v>Carpentry</v>
      </c>
    </row>
    <row r="127" spans="1:22" x14ac:dyDescent="0.45">
      <c r="A127" s="24">
        <v>44322</v>
      </c>
      <c r="B127" s="25" t="s">
        <v>214</v>
      </c>
      <c r="C127" s="34">
        <v>5.64</v>
      </c>
      <c r="D127" s="27" t="s">
        <v>213</v>
      </c>
      <c r="E127" s="25" t="s">
        <v>71</v>
      </c>
      <c r="F127" s="28"/>
      <c r="G127" s="29">
        <v>1</v>
      </c>
      <c r="H127" s="28">
        <v>1024.69</v>
      </c>
      <c r="I127" s="28"/>
      <c r="J127" s="30">
        <f>(Table3[[#This Row],[QTY]]*Table3[[#This Row],[Supplies Cost]])+Table3[[#This Row],[Tax/Fees]]</f>
        <v>1024.69</v>
      </c>
      <c r="K127" s="31"/>
      <c r="L127" s="33" t="s">
        <v>33</v>
      </c>
      <c r="M127" s="72" t="s">
        <v>47</v>
      </c>
      <c r="N127" s="31"/>
      <c r="O127" s="72"/>
      <c r="P127" s="31"/>
      <c r="Q127" s="31" t="s">
        <v>102</v>
      </c>
      <c r="R127" s="31">
        <v>5.6454000000000004</v>
      </c>
      <c r="S127" s="72"/>
      <c r="T127" s="31" t="s">
        <v>188</v>
      </c>
      <c r="U127" s="32" t="str">
        <f>LEFT(Table3[[#This Row],[Stage]],FIND(".",Table3[[#This Row],[Stage]],1)-1)</f>
        <v>5</v>
      </c>
      <c r="V127" s="31" t="str">
        <f>VLOOKUP(ABS(Table3[[#This Row],[Type]]),[1]!Table9[#All],2)</f>
        <v>Earthworks</v>
      </c>
    </row>
    <row r="128" spans="1:22" x14ac:dyDescent="0.45">
      <c r="A128" s="24">
        <v>44322</v>
      </c>
      <c r="B128" s="25" t="s">
        <v>215</v>
      </c>
      <c r="C128" s="34">
        <v>7.21</v>
      </c>
      <c r="D128" s="27" t="s">
        <v>118</v>
      </c>
      <c r="E128" s="25" t="s">
        <v>69</v>
      </c>
      <c r="F128" s="28"/>
      <c r="G128" s="29">
        <v>1</v>
      </c>
      <c r="H128" s="28">
        <v>-670</v>
      </c>
      <c r="I128" s="28"/>
      <c r="J128" s="30">
        <f>(Table3[[#This Row],[QTY]]*Table3[[#This Row],[Supplies Cost]])+Table3[[#This Row],[Tax/Fees]]</f>
        <v>-670</v>
      </c>
      <c r="K128" s="31">
        <v>4698</v>
      </c>
      <c r="L128" s="33" t="s">
        <v>33</v>
      </c>
      <c r="M128" s="31" t="s">
        <v>34</v>
      </c>
      <c r="N128" s="31"/>
      <c r="O128" s="25">
        <v>21050601</v>
      </c>
      <c r="P128" s="31"/>
      <c r="Q128" s="31" t="s">
        <v>157</v>
      </c>
      <c r="R128" s="31">
        <v>7.2155500000000004</v>
      </c>
      <c r="S128" s="31"/>
      <c r="T128" s="120" t="s">
        <v>111</v>
      </c>
      <c r="U128" s="32" t="str">
        <f>LEFT(Table3[[#This Row],[Stage]],FIND(".",Table3[[#This Row],[Stage]],1)-1)</f>
        <v>7</v>
      </c>
      <c r="V128" s="31" t="str">
        <f>VLOOKUP(ABS(Table3[[#This Row],[Type]]),[1]!Table9[#All],2)</f>
        <v>Carpentry</v>
      </c>
    </row>
    <row r="129" spans="1:22" ht="27.75" x14ac:dyDescent="0.45">
      <c r="A129" s="24">
        <v>44322</v>
      </c>
      <c r="B129" s="25" t="s">
        <v>216</v>
      </c>
      <c r="C129" s="34">
        <v>7.21</v>
      </c>
      <c r="D129" s="27" t="s">
        <v>144</v>
      </c>
      <c r="E129" s="25" t="s">
        <v>69</v>
      </c>
      <c r="F129" s="28"/>
      <c r="G129" s="29">
        <v>1</v>
      </c>
      <c r="H129" s="28">
        <v>5193</v>
      </c>
      <c r="I129" s="28"/>
      <c r="J129" s="30">
        <f>(Table3[[#This Row],[QTY]]*Table3[[#This Row],[Supplies Cost]])+Table3[[#This Row],[Tax/Fees]]</f>
        <v>5193</v>
      </c>
      <c r="K129" s="31"/>
      <c r="L129" s="33" t="s">
        <v>92</v>
      </c>
      <c r="M129" s="31" t="s">
        <v>34</v>
      </c>
      <c r="N129" s="31"/>
      <c r="O129" s="25">
        <v>21050601</v>
      </c>
      <c r="P129" s="31"/>
      <c r="Q129" s="121" t="s">
        <v>217</v>
      </c>
      <c r="R129" s="31"/>
      <c r="S129" s="31"/>
      <c r="T129" s="122" t="s">
        <v>197</v>
      </c>
      <c r="U129" s="32" t="str">
        <f>LEFT(Table3[[#This Row],[Stage]],FIND(".",Table3[[#This Row],[Stage]],1)-1)</f>
        <v>7</v>
      </c>
      <c r="V129" s="31" t="str">
        <f>VLOOKUP(ABS(Table3[[#This Row],[Type]]),[1]!Table9[#All],2)</f>
        <v>Carpentry</v>
      </c>
    </row>
    <row r="130" spans="1:22" ht="30.75" x14ac:dyDescent="0.45">
      <c r="A130" s="24">
        <v>44323</v>
      </c>
      <c r="B130" s="25" t="s">
        <v>218</v>
      </c>
      <c r="C130" s="34">
        <v>7.3</v>
      </c>
      <c r="D130" s="27" t="s">
        <v>213</v>
      </c>
      <c r="E130" s="25" t="s">
        <v>219</v>
      </c>
      <c r="F130" s="28"/>
      <c r="G130" s="49">
        <v>60</v>
      </c>
      <c r="H130" s="28">
        <v>85</v>
      </c>
      <c r="I130" s="28">
        <v>-0.03</v>
      </c>
      <c r="J130" s="30">
        <f>(Table3[[#This Row],[QTY]]*Table3[[#This Row],[Supplies Cost]])+Table3[[#This Row],[Tax/Fees]]</f>
        <v>5099.97</v>
      </c>
      <c r="K130" s="31"/>
      <c r="L130" s="33" t="s">
        <v>33</v>
      </c>
      <c r="M130" s="31" t="s">
        <v>47</v>
      </c>
      <c r="N130" s="31"/>
      <c r="O130" s="31"/>
      <c r="P130" s="31" t="s">
        <v>73</v>
      </c>
      <c r="Q130" s="31" t="s">
        <v>157</v>
      </c>
      <c r="R130" s="31">
        <v>7.3559999999999999</v>
      </c>
      <c r="S130" s="31"/>
      <c r="T130" s="31" t="s">
        <v>197</v>
      </c>
      <c r="U130" s="32" t="str">
        <f>LEFT(Table3[[#This Row],[Stage]],FIND(".",Table3[[#This Row],[Stage]],1)-1)</f>
        <v>7</v>
      </c>
      <c r="V130" s="31" t="str">
        <f>VLOOKUP(ABS(Table3[[#This Row],[Type]]),[1]!Table9[#All],2)</f>
        <v>Carpentry</v>
      </c>
    </row>
    <row r="131" spans="1:22" x14ac:dyDescent="0.45">
      <c r="A131" s="24">
        <v>44323</v>
      </c>
      <c r="B131" s="25" t="s">
        <v>220</v>
      </c>
      <c r="C131" s="94">
        <v>3.06</v>
      </c>
      <c r="D131" s="27" t="s">
        <v>118</v>
      </c>
      <c r="E131" s="25" t="s">
        <v>64</v>
      </c>
      <c r="F131" s="28"/>
      <c r="G131" s="49">
        <v>1</v>
      </c>
      <c r="H131" s="28">
        <f>320+590+420+410+420+500</f>
        <v>2660</v>
      </c>
      <c r="I131" s="28"/>
      <c r="J131" s="30">
        <f>(Table3[[#This Row],[QTY]]*Table3[[#This Row],[Supplies Cost]])+Table3[[#This Row],[Tax/Fees]]</f>
        <v>2660</v>
      </c>
      <c r="K131" s="31">
        <v>13890</v>
      </c>
      <c r="L131" s="33" t="s">
        <v>33</v>
      </c>
      <c r="M131" s="31" t="s">
        <v>47</v>
      </c>
      <c r="N131" s="31"/>
      <c r="O131" s="31">
        <v>74</v>
      </c>
      <c r="P131" s="31"/>
      <c r="Q131" s="31" t="s">
        <v>157</v>
      </c>
      <c r="R131" s="31">
        <v>3.0659999999999998</v>
      </c>
      <c r="S131" s="31"/>
      <c r="T131" s="31" t="s">
        <v>56</v>
      </c>
      <c r="U131" s="32" t="str">
        <f>LEFT(Table3[[#This Row],[Stage]],FIND(".",Table3[[#This Row],[Stage]],1)-1)</f>
        <v>3</v>
      </c>
      <c r="V131" s="31" t="str">
        <f>VLOOKUP(ABS(Table3[[#This Row],[Type]]),[1]!Table9[#All],2)</f>
        <v>Masonary</v>
      </c>
    </row>
    <row r="132" spans="1:22" x14ac:dyDescent="0.45">
      <c r="A132" s="24">
        <v>44323</v>
      </c>
      <c r="B132" s="25" t="s">
        <v>221</v>
      </c>
      <c r="C132" s="94">
        <v>5.45</v>
      </c>
      <c r="D132" s="27" t="s">
        <v>118</v>
      </c>
      <c r="E132" s="25" t="s">
        <v>64</v>
      </c>
      <c r="F132" s="28"/>
      <c r="G132" s="49">
        <v>1</v>
      </c>
      <c r="H132" s="28">
        <v>700</v>
      </c>
      <c r="I132" s="28"/>
      <c r="J132" s="30">
        <f>(Table3[[#This Row],[QTY]]*Table3[[#This Row],[Supplies Cost]])+Table3[[#This Row],[Tax/Fees]]</f>
        <v>700</v>
      </c>
      <c r="K132" s="31"/>
      <c r="L132" s="33" t="s">
        <v>92</v>
      </c>
      <c r="M132" s="31" t="s">
        <v>47</v>
      </c>
      <c r="N132" s="31"/>
      <c r="O132" s="31">
        <v>74</v>
      </c>
      <c r="P132" s="31"/>
      <c r="Q132" s="31" t="s">
        <v>157</v>
      </c>
      <c r="R132" s="31"/>
      <c r="S132" s="31"/>
      <c r="T132" s="31" t="s">
        <v>56</v>
      </c>
      <c r="U132" s="32" t="str">
        <f>LEFT(Table3[[#This Row],[Stage]],FIND(".",Table3[[#This Row],[Stage]],1)-1)</f>
        <v>5</v>
      </c>
      <c r="V132" s="31" t="str">
        <f>VLOOKUP(ABS(Table3[[#This Row],[Type]]),[1]!Table9[#All],2)</f>
        <v>Earthworks</v>
      </c>
    </row>
    <row r="133" spans="1:22" x14ac:dyDescent="0.45">
      <c r="A133" s="24">
        <v>44323</v>
      </c>
      <c r="B133" s="25" t="s">
        <v>222</v>
      </c>
      <c r="C133" s="34">
        <v>5.45</v>
      </c>
      <c r="D133" s="27" t="s">
        <v>144</v>
      </c>
      <c r="E133" s="25" t="s">
        <v>64</v>
      </c>
      <c r="F133" s="28"/>
      <c r="G133" s="49">
        <v>1</v>
      </c>
      <c r="H133" s="28">
        <v>10530</v>
      </c>
      <c r="I133" s="28"/>
      <c r="J133" s="30">
        <f>(Table3[[#This Row],[QTY]]*Table3[[#This Row],[Supplies Cost]])+Table3[[#This Row],[Tax/Fees]]</f>
        <v>10530</v>
      </c>
      <c r="K133" s="31"/>
      <c r="L133" s="33" t="s">
        <v>92</v>
      </c>
      <c r="M133" s="31" t="s">
        <v>47</v>
      </c>
      <c r="N133" s="31"/>
      <c r="O133" s="31">
        <v>74</v>
      </c>
      <c r="P133" s="31"/>
      <c r="Q133" s="31" t="s">
        <v>157</v>
      </c>
      <c r="R133" s="31"/>
      <c r="S133" s="31"/>
      <c r="T133" s="31" t="s">
        <v>56</v>
      </c>
      <c r="U133" s="32" t="str">
        <f>LEFT(Table3[[#This Row],[Stage]],FIND(".",Table3[[#This Row],[Stage]],1)-1)</f>
        <v>5</v>
      </c>
      <c r="V133" s="31" t="str">
        <f>VLOOKUP(ABS(Table3[[#This Row],[Type]]),[1]!Table9[#All],2)</f>
        <v>Earthworks</v>
      </c>
    </row>
    <row r="134" spans="1:22" x14ac:dyDescent="0.45">
      <c r="A134" s="24">
        <v>44324</v>
      </c>
      <c r="B134" s="25" t="s">
        <v>223</v>
      </c>
      <c r="C134" s="43">
        <v>5.42</v>
      </c>
      <c r="D134" s="27" t="s">
        <v>45</v>
      </c>
      <c r="E134" s="28" t="s">
        <v>64</v>
      </c>
      <c r="F134" s="28"/>
      <c r="G134" s="29">
        <v>6</v>
      </c>
      <c r="H134" s="28">
        <v>170</v>
      </c>
      <c r="I134" s="28"/>
      <c r="J134" s="30">
        <f>(Table3[[#This Row],[QTY]]*Table3[[#This Row],[Supplies Cost]])+Table3[[#This Row],[Tax/Fees]]</f>
        <v>1020</v>
      </c>
      <c r="K134" s="31"/>
      <c r="L134" s="33" t="s">
        <v>92</v>
      </c>
      <c r="M134" s="31" t="s">
        <v>34</v>
      </c>
      <c r="N134" s="31"/>
      <c r="O134" s="31" t="s">
        <v>224</v>
      </c>
      <c r="P134" s="31"/>
      <c r="Q134" s="31"/>
      <c r="R134" s="31"/>
      <c r="S134" s="31"/>
      <c r="T134" s="31" t="s">
        <v>56</v>
      </c>
      <c r="U134" s="32" t="str">
        <f>LEFT(Table3[[#This Row],[Stage]],FIND(".",Table3[[#This Row],[Stage]],1)-1)</f>
        <v>5</v>
      </c>
      <c r="V134" s="31" t="str">
        <f>VLOOKUP(ABS(Table3[[#This Row],[Type]]),[1]!Table9[#All],2)</f>
        <v>Earthworks</v>
      </c>
    </row>
    <row r="135" spans="1:22" x14ac:dyDescent="0.45">
      <c r="A135" s="24">
        <v>44324</v>
      </c>
      <c r="B135" s="25" t="s">
        <v>225</v>
      </c>
      <c r="C135" s="43">
        <v>5.42</v>
      </c>
      <c r="D135" s="27" t="s">
        <v>45</v>
      </c>
      <c r="E135" s="28" t="s">
        <v>64</v>
      </c>
      <c r="F135" s="28"/>
      <c r="G135" s="29">
        <v>7</v>
      </c>
      <c r="H135" s="28">
        <v>100</v>
      </c>
      <c r="I135" s="28"/>
      <c r="J135" s="30">
        <f>(Table3[[#This Row],[QTY]]*Table3[[#This Row],[Supplies Cost]])+Table3[[#This Row],[Tax/Fees]]</f>
        <v>700</v>
      </c>
      <c r="K135" s="31"/>
      <c r="L135" s="33" t="s">
        <v>92</v>
      </c>
      <c r="M135" s="31" t="s">
        <v>34</v>
      </c>
      <c r="N135" s="31"/>
      <c r="O135" s="31" t="s">
        <v>224</v>
      </c>
      <c r="P135" s="31"/>
      <c r="Q135" s="31"/>
      <c r="R135" s="31"/>
      <c r="S135" s="31"/>
      <c r="T135" s="31" t="s">
        <v>56</v>
      </c>
      <c r="U135" s="32" t="str">
        <f>LEFT(Table3[[#This Row],[Stage]],FIND(".",Table3[[#This Row],[Stage]],1)-1)</f>
        <v>5</v>
      </c>
      <c r="V135" s="31" t="str">
        <f>VLOOKUP(ABS(Table3[[#This Row],[Type]]),[1]!Table9[#All],2)</f>
        <v>Earthworks</v>
      </c>
    </row>
    <row r="136" spans="1:22" x14ac:dyDescent="0.45">
      <c r="A136" s="24">
        <v>44326</v>
      </c>
      <c r="B136" s="25" t="s">
        <v>223</v>
      </c>
      <c r="C136" s="43">
        <v>5.42</v>
      </c>
      <c r="D136" s="27" t="s">
        <v>45</v>
      </c>
      <c r="E136" s="58" t="s">
        <v>64</v>
      </c>
      <c r="F136" s="28"/>
      <c r="G136" s="29">
        <v>6.5</v>
      </c>
      <c r="H136" s="28">
        <v>170</v>
      </c>
      <c r="I136" s="28"/>
      <c r="J136" s="30">
        <f>(Table3[[#This Row],[QTY]]*Table3[[#This Row],[Supplies Cost]])+Table3[[#This Row],[Tax/Fees]]</f>
        <v>1105</v>
      </c>
      <c r="K136" s="31"/>
      <c r="L136" s="33" t="s">
        <v>92</v>
      </c>
      <c r="M136" s="31" t="s">
        <v>34</v>
      </c>
      <c r="N136" s="31"/>
      <c r="O136" s="31" t="s">
        <v>224</v>
      </c>
      <c r="P136" s="31"/>
      <c r="Q136" s="31"/>
      <c r="R136" s="31"/>
      <c r="S136" s="31"/>
      <c r="T136" s="31" t="s">
        <v>56</v>
      </c>
      <c r="U136" s="32" t="str">
        <f>LEFT(Table3[[#This Row],[Stage]],FIND(".",Table3[[#This Row],[Stage]],1)-1)</f>
        <v>5</v>
      </c>
      <c r="V136" s="31" t="str">
        <f>VLOOKUP(ABS(Table3[[#This Row],[Type]]),[1]!Table9[#All],2)</f>
        <v>Earthworks</v>
      </c>
    </row>
    <row r="137" spans="1:22" x14ac:dyDescent="0.45">
      <c r="A137" s="24">
        <v>44326</v>
      </c>
      <c r="B137" s="25" t="s">
        <v>225</v>
      </c>
      <c r="C137" s="43">
        <v>5.42</v>
      </c>
      <c r="D137" s="27" t="s">
        <v>45</v>
      </c>
      <c r="E137" s="28" t="s">
        <v>64</v>
      </c>
      <c r="F137" s="28"/>
      <c r="G137" s="29">
        <v>6.5</v>
      </c>
      <c r="H137" s="28">
        <v>100</v>
      </c>
      <c r="I137" s="28"/>
      <c r="J137" s="30">
        <f>(Table3[[#This Row],[QTY]]*Table3[[#This Row],[Supplies Cost]])+Table3[[#This Row],[Tax/Fees]]</f>
        <v>650</v>
      </c>
      <c r="K137" s="31"/>
      <c r="L137" s="33" t="s">
        <v>92</v>
      </c>
      <c r="M137" s="40" t="s">
        <v>34</v>
      </c>
      <c r="N137" s="31"/>
      <c r="O137" s="31" t="s">
        <v>224</v>
      </c>
      <c r="P137" s="31"/>
      <c r="Q137" s="31"/>
      <c r="R137" s="31"/>
      <c r="S137" s="31"/>
      <c r="T137" s="31" t="s">
        <v>56</v>
      </c>
      <c r="U137" s="32" t="str">
        <f>LEFT(Table3[[#This Row],[Stage]],FIND(".",Table3[[#This Row],[Stage]],1)-1)</f>
        <v>5</v>
      </c>
      <c r="V137" s="31" t="str">
        <f>VLOOKUP(ABS(Table3[[#This Row],[Type]]),[1]!Table9[#All],2)</f>
        <v>Earthworks</v>
      </c>
    </row>
    <row r="138" spans="1:22" ht="30.75" x14ac:dyDescent="0.45">
      <c r="A138" s="24">
        <v>44326</v>
      </c>
      <c r="B138" s="25" t="s">
        <v>226</v>
      </c>
      <c r="C138" s="34">
        <v>7.3</v>
      </c>
      <c r="D138" s="27" t="s">
        <v>213</v>
      </c>
      <c r="E138" s="25" t="s">
        <v>116</v>
      </c>
      <c r="F138" s="28"/>
      <c r="G138" s="49">
        <v>1</v>
      </c>
      <c r="H138" s="28">
        <v>1555.7</v>
      </c>
      <c r="I138" s="28"/>
      <c r="J138" s="30">
        <f>(Table3[[#This Row],[QTY]]*Table3[[#This Row],[Supplies Cost]])+Table3[[#This Row],[Tax/Fees]]</f>
        <v>1555.7</v>
      </c>
      <c r="K138" s="31">
        <v>1699.24</v>
      </c>
      <c r="L138" s="33" t="s">
        <v>33</v>
      </c>
      <c r="M138" s="31" t="s">
        <v>77</v>
      </c>
      <c r="N138" s="31"/>
      <c r="O138" s="31"/>
      <c r="P138" s="31"/>
      <c r="Q138" s="31" t="s">
        <v>157</v>
      </c>
      <c r="R138" s="31">
        <v>7.3574999999999999</v>
      </c>
      <c r="S138" s="31"/>
      <c r="T138" s="31" t="s">
        <v>197</v>
      </c>
      <c r="U138" s="32" t="str">
        <f>LEFT(Table3[[#This Row],[Stage]],FIND(".",Table3[[#This Row],[Stage]],1)-1)</f>
        <v>7</v>
      </c>
      <c r="V138" s="31" t="str">
        <f>VLOOKUP(ABS(Table3[[#This Row],[Type]]),[1]!Table9[#All],2)</f>
        <v>Carpentry</v>
      </c>
    </row>
    <row r="139" spans="1:22" x14ac:dyDescent="0.45">
      <c r="A139" s="24">
        <v>44326</v>
      </c>
      <c r="B139" s="25" t="s">
        <v>227</v>
      </c>
      <c r="C139" s="34">
        <v>3.06</v>
      </c>
      <c r="D139" s="27" t="s">
        <v>213</v>
      </c>
      <c r="E139" s="25" t="s">
        <v>116</v>
      </c>
      <c r="F139" s="28"/>
      <c r="G139" s="49">
        <v>1</v>
      </c>
      <c r="H139" s="28">
        <v>622.75</v>
      </c>
      <c r="I139" s="28"/>
      <c r="J139" s="30">
        <f>(Table3[[#This Row],[QTY]]*Table3[[#This Row],[Supplies Cost]])+Table3[[#This Row],[Tax/Fees]]</f>
        <v>622.75</v>
      </c>
      <c r="K139" s="31"/>
      <c r="L139" s="33" t="s">
        <v>33</v>
      </c>
      <c r="M139" s="31" t="s">
        <v>47</v>
      </c>
      <c r="N139" s="31"/>
      <c r="O139" s="31"/>
      <c r="P139" s="31"/>
      <c r="Q139" s="31" t="s">
        <v>157</v>
      </c>
      <c r="R139" s="31">
        <v>3.06595</v>
      </c>
      <c r="S139" s="31"/>
      <c r="T139" s="31" t="s">
        <v>142</v>
      </c>
      <c r="U139" s="32" t="str">
        <f>LEFT(Table3[[#This Row],[Stage]],FIND(".",Table3[[#This Row],[Stage]],1)-1)</f>
        <v>3</v>
      </c>
      <c r="V139" s="31" t="str">
        <f>VLOOKUP(ABS(Table3[[#This Row],[Type]]),[1]!Table9[#All],2)</f>
        <v>Masonary</v>
      </c>
    </row>
    <row r="140" spans="1:22" ht="30.75" x14ac:dyDescent="0.45">
      <c r="A140" s="24">
        <v>44326</v>
      </c>
      <c r="B140" s="25" t="s">
        <v>228</v>
      </c>
      <c r="C140" s="34">
        <v>7.3</v>
      </c>
      <c r="D140" s="27" t="s">
        <v>213</v>
      </c>
      <c r="E140" s="25" t="s">
        <v>219</v>
      </c>
      <c r="F140" s="28"/>
      <c r="G140" s="49">
        <v>1</v>
      </c>
      <c r="H140" s="28">
        <v>427.17</v>
      </c>
      <c r="I140" s="28"/>
      <c r="J140" s="30">
        <f>(Table3[[#This Row],[QTY]]*Table3[[#This Row],[Supplies Cost]])+Table3[[#This Row],[Tax/Fees]]</f>
        <v>427.17</v>
      </c>
      <c r="K140" s="31"/>
      <c r="L140" s="33" t="s">
        <v>33</v>
      </c>
      <c r="M140" s="31" t="s">
        <v>47</v>
      </c>
      <c r="N140" s="31"/>
      <c r="O140" s="31"/>
      <c r="P140" s="31"/>
      <c r="Q140" s="31" t="s">
        <v>157</v>
      </c>
      <c r="R140" s="31">
        <v>7.3585000000000003</v>
      </c>
      <c r="S140" s="31"/>
      <c r="T140" s="31" t="s">
        <v>197</v>
      </c>
      <c r="U140" s="32" t="str">
        <f>LEFT(Table3[[#This Row],[Stage]],FIND(".",Table3[[#This Row],[Stage]],1)-1)</f>
        <v>7</v>
      </c>
      <c r="V140" s="31" t="str">
        <f>VLOOKUP(ABS(Table3[[#This Row],[Type]]),[1]!Table9[#All],2)</f>
        <v>Carpentry</v>
      </c>
    </row>
    <row r="141" spans="1:22" x14ac:dyDescent="0.45">
      <c r="A141" s="24">
        <v>44327</v>
      </c>
      <c r="B141" s="25" t="s">
        <v>223</v>
      </c>
      <c r="C141" s="43">
        <v>5.42</v>
      </c>
      <c r="D141" s="27" t="s">
        <v>45</v>
      </c>
      <c r="E141" s="28" t="s">
        <v>64</v>
      </c>
      <c r="F141" s="28"/>
      <c r="G141" s="29">
        <v>7.5</v>
      </c>
      <c r="H141" s="28">
        <v>170</v>
      </c>
      <c r="I141" s="28"/>
      <c r="J141" s="30">
        <f>(Table3[[#This Row],[QTY]]*Table3[[#This Row],[Supplies Cost]])+Table3[[#This Row],[Tax/Fees]]</f>
        <v>1275</v>
      </c>
      <c r="K141" s="31"/>
      <c r="L141" s="33" t="s">
        <v>92</v>
      </c>
      <c r="M141" s="31" t="s">
        <v>34</v>
      </c>
      <c r="N141" s="31"/>
      <c r="O141" s="31" t="s">
        <v>224</v>
      </c>
      <c r="P141" s="31"/>
      <c r="Q141" s="31"/>
      <c r="R141" s="31"/>
      <c r="S141" s="31"/>
      <c r="T141" s="31" t="s">
        <v>56</v>
      </c>
      <c r="U141" s="32" t="str">
        <f>LEFT(Table3[[#This Row],[Stage]],FIND(".",Table3[[#This Row],[Stage]],1)-1)</f>
        <v>5</v>
      </c>
      <c r="V141" s="31" t="str">
        <f>VLOOKUP(ABS(Table3[[#This Row],[Type]]),[1]!Table9[#All],2)</f>
        <v>Earthworks</v>
      </c>
    </row>
    <row r="142" spans="1:22" x14ac:dyDescent="0.45">
      <c r="A142" s="24">
        <v>44327</v>
      </c>
      <c r="B142" s="25" t="s">
        <v>225</v>
      </c>
      <c r="C142" s="43">
        <v>5.42</v>
      </c>
      <c r="D142" s="27" t="s">
        <v>45</v>
      </c>
      <c r="E142" s="28" t="s">
        <v>64</v>
      </c>
      <c r="F142" s="28"/>
      <c r="G142" s="29">
        <v>7.5</v>
      </c>
      <c r="H142" s="28">
        <v>100</v>
      </c>
      <c r="I142" s="28"/>
      <c r="J142" s="30">
        <f>(Table3[[#This Row],[QTY]]*Table3[[#This Row],[Supplies Cost]])+Table3[[#This Row],[Tax/Fees]]</f>
        <v>750</v>
      </c>
      <c r="K142" s="31"/>
      <c r="L142" s="33" t="s">
        <v>92</v>
      </c>
      <c r="M142" s="31" t="s">
        <v>34</v>
      </c>
      <c r="N142" s="31"/>
      <c r="O142" s="31" t="s">
        <v>224</v>
      </c>
      <c r="P142" s="31"/>
      <c r="Q142" s="31"/>
      <c r="R142" s="31"/>
      <c r="S142" s="31"/>
      <c r="T142" s="31" t="s">
        <v>56</v>
      </c>
      <c r="U142" s="32" t="str">
        <f>LEFT(Table3[[#This Row],[Stage]],FIND(".",Table3[[#This Row],[Stage]],1)-1)</f>
        <v>5</v>
      </c>
      <c r="V142" s="31" t="str">
        <f>VLOOKUP(ABS(Table3[[#This Row],[Type]]),[1]!Table9[#All],2)</f>
        <v>Earthworks</v>
      </c>
    </row>
    <row r="143" spans="1:22" x14ac:dyDescent="0.45">
      <c r="A143" s="24">
        <v>44327</v>
      </c>
      <c r="B143" s="25" t="s">
        <v>103</v>
      </c>
      <c r="C143" s="34">
        <v>8.0399999999999991</v>
      </c>
      <c r="D143" s="27" t="s">
        <v>45</v>
      </c>
      <c r="E143" s="25" t="s">
        <v>104</v>
      </c>
      <c r="F143" s="29">
        <v>1</v>
      </c>
      <c r="G143" s="29">
        <v>1</v>
      </c>
      <c r="H143" s="28">
        <v>13.38</v>
      </c>
      <c r="I143" s="30"/>
      <c r="J143" s="30">
        <f>(Table3[[#This Row],[QTY]]*Table3[[#This Row],[Supplies Cost]])+Table3[[#This Row],[Tax/Fees]]</f>
        <v>13.38</v>
      </c>
      <c r="K143" s="31"/>
      <c r="L143" s="33" t="s">
        <v>33</v>
      </c>
      <c r="M143" s="31" t="s">
        <v>77</v>
      </c>
      <c r="N143" s="31"/>
      <c r="O143" s="31"/>
      <c r="P143" s="31"/>
      <c r="Q143" s="31" t="s">
        <v>174</v>
      </c>
      <c r="R143" s="31">
        <v>8.0475499999999993</v>
      </c>
      <c r="S143" s="31"/>
      <c r="T143" s="31" t="s">
        <v>60</v>
      </c>
      <c r="U143" s="32" t="str">
        <f>LEFT(Table3[[#This Row],[Stage]],FIND(".",Table3[[#This Row],[Stage]],1)-1)</f>
        <v>8</v>
      </c>
      <c r="V143" s="31" t="str">
        <f>VLOOKUP(ABS(Table3[[#This Row],[Type]]),[1]!Table9[#All],2)</f>
        <v>Administrative</v>
      </c>
    </row>
    <row r="144" spans="1:22" x14ac:dyDescent="0.45">
      <c r="A144" s="24">
        <v>44328</v>
      </c>
      <c r="B144" s="25" t="s">
        <v>229</v>
      </c>
      <c r="C144" s="43">
        <v>5.42</v>
      </c>
      <c r="D144" s="27" t="s">
        <v>45</v>
      </c>
      <c r="E144" s="28" t="s">
        <v>64</v>
      </c>
      <c r="F144" s="28"/>
      <c r="G144" s="29">
        <v>1</v>
      </c>
      <c r="H144" s="28">
        <v>1300</v>
      </c>
      <c r="I144" s="28"/>
      <c r="J144" s="30">
        <f>(Table3[[#This Row],[QTY]]*Table3[[#This Row],[Supplies Cost]])+Table3[[#This Row],[Tax/Fees]]</f>
        <v>1300</v>
      </c>
      <c r="K144" s="31"/>
      <c r="L144" s="33" t="s">
        <v>92</v>
      </c>
      <c r="M144" s="31" t="s">
        <v>47</v>
      </c>
      <c r="N144" s="31"/>
      <c r="O144" s="31" t="s">
        <v>224</v>
      </c>
      <c r="P144" s="31"/>
      <c r="Q144" s="31"/>
      <c r="R144" s="31"/>
      <c r="S144" s="31"/>
      <c r="T144" s="31" t="s">
        <v>56</v>
      </c>
      <c r="U144" s="32" t="str">
        <f>LEFT(Table3[[#This Row],[Stage]],FIND(".",Table3[[#This Row],[Stage]],1)-1)</f>
        <v>5</v>
      </c>
      <c r="V144" s="31" t="str">
        <f>VLOOKUP(ABS(Table3[[#This Row],[Type]]),[1]!Table9[#All],2)</f>
        <v>Earthworks</v>
      </c>
    </row>
    <row r="145" spans="1:22" x14ac:dyDescent="0.45">
      <c r="A145" s="24">
        <v>44328</v>
      </c>
      <c r="B145" s="25" t="s">
        <v>230</v>
      </c>
      <c r="C145" s="43">
        <v>5.42</v>
      </c>
      <c r="D145" s="27" t="s">
        <v>45</v>
      </c>
      <c r="E145" s="28" t="s">
        <v>64</v>
      </c>
      <c r="F145" s="28"/>
      <c r="G145" s="29">
        <v>1</v>
      </c>
      <c r="H145" s="28">
        <v>950</v>
      </c>
      <c r="I145" s="28"/>
      <c r="J145" s="30">
        <f>(Table3[[#This Row],[QTY]]*Table3[[#This Row],[Supplies Cost]])+Table3[[#This Row],[Tax/Fees]]</f>
        <v>950</v>
      </c>
      <c r="K145" s="31"/>
      <c r="L145" s="33" t="s">
        <v>92</v>
      </c>
      <c r="M145" s="31" t="s">
        <v>47</v>
      </c>
      <c r="N145" s="31"/>
      <c r="O145" s="31" t="s">
        <v>224</v>
      </c>
      <c r="P145" s="31"/>
      <c r="Q145" s="31"/>
      <c r="R145" s="31"/>
      <c r="S145" s="31"/>
      <c r="T145" s="31" t="s">
        <v>56</v>
      </c>
      <c r="U145" s="32" t="str">
        <f>LEFT(Table3[[#This Row],[Stage]],FIND(".",Table3[[#This Row],[Stage]],1)-1)</f>
        <v>5</v>
      </c>
      <c r="V145" s="31" t="str">
        <f>VLOOKUP(ABS(Table3[[#This Row],[Type]]),[1]!Table9[#All],2)</f>
        <v>Earthworks</v>
      </c>
    </row>
    <row r="146" spans="1:22" x14ac:dyDescent="0.45">
      <c r="A146" s="24">
        <v>44328</v>
      </c>
      <c r="B146" s="25" t="s">
        <v>223</v>
      </c>
      <c r="C146" s="43">
        <v>5.42</v>
      </c>
      <c r="D146" s="27" t="s">
        <v>45</v>
      </c>
      <c r="E146" s="28" t="s">
        <v>64</v>
      </c>
      <c r="F146" s="28"/>
      <c r="G146" s="29">
        <v>2</v>
      </c>
      <c r="H146" s="28">
        <v>170</v>
      </c>
      <c r="I146" s="28"/>
      <c r="J146" s="30">
        <f>(Table3[[#This Row],[QTY]]*Table3[[#This Row],[Supplies Cost]])+Table3[[#This Row],[Tax/Fees]]</f>
        <v>340</v>
      </c>
      <c r="K146" s="31"/>
      <c r="L146" s="33" t="s">
        <v>92</v>
      </c>
      <c r="M146" s="31" t="s">
        <v>34</v>
      </c>
      <c r="N146" s="31"/>
      <c r="O146" s="31" t="s">
        <v>224</v>
      </c>
      <c r="P146" s="31"/>
      <c r="Q146" s="31"/>
      <c r="R146" s="31"/>
      <c r="S146" s="31"/>
      <c r="T146" s="31" t="s">
        <v>56</v>
      </c>
      <c r="U146" s="32" t="str">
        <f>LEFT(Table3[[#This Row],[Stage]],FIND(".",Table3[[#This Row],[Stage]],1)-1)</f>
        <v>5</v>
      </c>
      <c r="V146" s="31" t="str">
        <f>VLOOKUP(ABS(Table3[[#This Row],[Type]]),[1]!Table9[#All],2)</f>
        <v>Earthworks</v>
      </c>
    </row>
    <row r="147" spans="1:22" x14ac:dyDescent="0.45">
      <c r="A147" s="24">
        <v>44328</v>
      </c>
      <c r="B147" s="25" t="s">
        <v>225</v>
      </c>
      <c r="C147" s="43">
        <v>5.42</v>
      </c>
      <c r="D147" s="27" t="s">
        <v>45</v>
      </c>
      <c r="E147" s="28" t="s">
        <v>64</v>
      </c>
      <c r="F147" s="28"/>
      <c r="G147" s="29">
        <v>2</v>
      </c>
      <c r="H147" s="28">
        <v>100</v>
      </c>
      <c r="I147" s="28"/>
      <c r="J147" s="30">
        <f>(Table3[[#This Row],[QTY]]*Table3[[#This Row],[Supplies Cost]])+Table3[[#This Row],[Tax/Fees]]</f>
        <v>200</v>
      </c>
      <c r="K147" s="31"/>
      <c r="L147" s="33" t="s">
        <v>92</v>
      </c>
      <c r="M147" s="31" t="s">
        <v>34</v>
      </c>
      <c r="N147" s="31"/>
      <c r="O147" s="31" t="s">
        <v>224</v>
      </c>
      <c r="P147" s="31"/>
      <c r="Q147" s="31"/>
      <c r="R147" s="31"/>
      <c r="S147" s="31"/>
      <c r="T147" s="31" t="s">
        <v>56</v>
      </c>
      <c r="U147" s="32" t="str">
        <f>LEFT(Table3[[#This Row],[Stage]],FIND(".",Table3[[#This Row],[Stage]],1)-1)</f>
        <v>5</v>
      </c>
      <c r="V147" s="31" t="str">
        <f>VLOOKUP(ABS(Table3[[#This Row],[Type]]),[1]!Table9[#All],2)</f>
        <v>Earthworks</v>
      </c>
    </row>
    <row r="148" spans="1:22" x14ac:dyDescent="0.45">
      <c r="A148" s="24">
        <v>44328</v>
      </c>
      <c r="B148" s="25" t="s">
        <v>126</v>
      </c>
      <c r="C148" s="34">
        <v>8.0399999999999991</v>
      </c>
      <c r="D148" s="27" t="s">
        <v>45</v>
      </c>
      <c r="E148" s="25" t="s">
        <v>127</v>
      </c>
      <c r="F148" s="28"/>
      <c r="G148" s="29">
        <v>1</v>
      </c>
      <c r="H148" s="28">
        <v>305.5</v>
      </c>
      <c r="I148" s="28"/>
      <c r="J148" s="30">
        <f>(Table3[[#This Row],[QTY]]*Table3[[#This Row],[Supplies Cost]])+Table3[[#This Row],[Tax/Fees]]</f>
        <v>305.5</v>
      </c>
      <c r="K148" s="31"/>
      <c r="L148" s="33" t="s">
        <v>33</v>
      </c>
      <c r="M148" s="31" t="s">
        <v>77</v>
      </c>
      <c r="N148" s="31"/>
      <c r="O148" s="31"/>
      <c r="P148" s="31"/>
      <c r="Q148" s="31" t="s">
        <v>174</v>
      </c>
      <c r="R148" s="31">
        <v>8.0461500000000008</v>
      </c>
      <c r="S148" s="31"/>
      <c r="T148" s="31" t="s">
        <v>129</v>
      </c>
      <c r="U148" s="32" t="str">
        <f>LEFT(Table3[[#This Row],[Stage]],FIND(".",Table3[[#This Row],[Stage]],1)-1)</f>
        <v>8</v>
      </c>
      <c r="V148" s="31" t="str">
        <f>VLOOKUP(ABS(Table3[[#This Row],[Type]]),[1]!Table9[#All],2)</f>
        <v>Administrative</v>
      </c>
    </row>
    <row r="149" spans="1:22" x14ac:dyDescent="0.45">
      <c r="A149" s="24">
        <v>44328</v>
      </c>
      <c r="B149" s="25" t="s">
        <v>134</v>
      </c>
      <c r="C149" s="34">
        <v>3.11</v>
      </c>
      <c r="D149" s="27" t="s">
        <v>213</v>
      </c>
      <c r="E149" s="25" t="s">
        <v>108</v>
      </c>
      <c r="F149" s="28"/>
      <c r="G149" s="29">
        <v>1</v>
      </c>
      <c r="H149" s="28">
        <v>911.8</v>
      </c>
      <c r="I149" s="28"/>
      <c r="J149" s="30">
        <f>(Table3[[#This Row],[QTY]]*Table3[[#This Row],[Supplies Cost]])+Table3[[#This Row],[Tax/Fees]]</f>
        <v>911.8</v>
      </c>
      <c r="K149" s="31"/>
      <c r="L149" s="33" t="s">
        <v>33</v>
      </c>
      <c r="M149" s="31" t="s">
        <v>47</v>
      </c>
      <c r="N149" s="31"/>
      <c r="O149" s="31"/>
      <c r="P149" s="31"/>
      <c r="Q149" s="31" t="s">
        <v>157</v>
      </c>
      <c r="R149" s="31">
        <v>3.1160999999999999</v>
      </c>
      <c r="S149" s="31"/>
      <c r="T149" s="31" t="s">
        <v>178</v>
      </c>
      <c r="U149" s="32" t="str">
        <f>LEFT(Table3[[#This Row],[Stage]],FIND(".",Table3[[#This Row],[Stage]],1)-1)</f>
        <v>3</v>
      </c>
      <c r="V149" s="31" t="str">
        <f>VLOOKUP(ABS(Table3[[#This Row],[Type]]),[1]!Table9[#All],2)</f>
        <v>Masonary</v>
      </c>
    </row>
    <row r="150" spans="1:22" x14ac:dyDescent="0.45">
      <c r="A150" s="24">
        <v>44328</v>
      </c>
      <c r="B150" s="25" t="s">
        <v>231</v>
      </c>
      <c r="C150" s="94">
        <v>5.67</v>
      </c>
      <c r="D150" s="31" t="s">
        <v>213</v>
      </c>
      <c r="E150" s="25" t="s">
        <v>137</v>
      </c>
      <c r="F150" s="28"/>
      <c r="G150" s="29">
        <v>1</v>
      </c>
      <c r="H150" s="28">
        <v>916.5</v>
      </c>
      <c r="I150" s="28"/>
      <c r="J150" s="30">
        <f>(Table3[[#This Row],[QTY]]*Table3[[#This Row],[Supplies Cost]])+Table3[[#This Row],[Tax/Fees]]</f>
        <v>916.5</v>
      </c>
      <c r="K150" s="31"/>
      <c r="L150" s="33" t="s">
        <v>33</v>
      </c>
      <c r="M150" s="31" t="s">
        <v>47</v>
      </c>
      <c r="N150" s="31"/>
      <c r="O150" s="31"/>
      <c r="P150" s="31"/>
      <c r="Q150" s="31" t="s">
        <v>174</v>
      </c>
      <c r="R150" s="31">
        <v>5.6761999999999997</v>
      </c>
      <c r="S150" s="31"/>
      <c r="T150" s="31" t="s">
        <v>188</v>
      </c>
      <c r="U150" s="32" t="str">
        <f>LEFT(Table3[[#This Row],[Stage]],FIND(".",Table3[[#This Row],[Stage]],1)-1)</f>
        <v>5</v>
      </c>
      <c r="V150" s="31" t="str">
        <f>VLOOKUP(ABS(Table3[[#This Row],[Type]]),[1]!Table9[#All],2)</f>
        <v>Earthworks</v>
      </c>
    </row>
    <row r="151" spans="1:22" x14ac:dyDescent="0.45">
      <c r="A151" s="24">
        <v>44328</v>
      </c>
      <c r="B151" s="25" t="s">
        <v>191</v>
      </c>
      <c r="C151" s="34">
        <v>3.06</v>
      </c>
      <c r="D151" s="27" t="s">
        <v>213</v>
      </c>
      <c r="E151" s="25" t="s">
        <v>71</v>
      </c>
      <c r="F151" s="28"/>
      <c r="G151" s="29">
        <v>1</v>
      </c>
      <c r="H151" s="28">
        <v>651.83000000000004</v>
      </c>
      <c r="I151" s="28"/>
      <c r="J151" s="30">
        <f>(Table3[[#This Row],[QTY]]*Table3[[#This Row],[Supplies Cost]])+Table3[[#This Row],[Tax/Fees]]</f>
        <v>651.83000000000004</v>
      </c>
      <c r="K151" s="31"/>
      <c r="L151" s="33" t="s">
        <v>33</v>
      </c>
      <c r="M151" s="31" t="s">
        <v>47</v>
      </c>
      <c r="N151" s="31"/>
      <c r="O151" s="31"/>
      <c r="P151" s="31"/>
      <c r="Q151" s="31" t="s">
        <v>102</v>
      </c>
      <c r="R151" s="31">
        <v>5.6460499999999998</v>
      </c>
      <c r="S151" s="31"/>
      <c r="T151" s="31" t="s">
        <v>178</v>
      </c>
      <c r="U151" s="32" t="str">
        <f>LEFT(Table3[[#This Row],[Stage]],FIND(".",Table3[[#This Row],[Stage]],1)-1)</f>
        <v>3</v>
      </c>
      <c r="V151" s="31" t="str">
        <f>VLOOKUP(ABS(Table3[[#This Row],[Type]]),[1]!Table9[#All],2)</f>
        <v>Masonary</v>
      </c>
    </row>
    <row r="152" spans="1:22" x14ac:dyDescent="0.45">
      <c r="A152" s="74">
        <v>44328</v>
      </c>
      <c r="B152" s="78" t="s">
        <v>232</v>
      </c>
      <c r="C152" s="123">
        <v>3.26</v>
      </c>
      <c r="D152" s="82" t="s">
        <v>233</v>
      </c>
      <c r="E152" s="78" t="s">
        <v>67</v>
      </c>
      <c r="F152" s="79"/>
      <c r="G152" s="80">
        <v>1</v>
      </c>
      <c r="H152" s="79">
        <v>1800</v>
      </c>
      <c r="I152" s="79"/>
      <c r="J152" s="85">
        <f>(Table3[[#This Row],[QTY]]*Table3[[#This Row],[Supplies Cost]])+Table3[[#This Row],[Tax/Fees]]</f>
        <v>1800</v>
      </c>
      <c r="K152" s="82"/>
      <c r="L152" s="124" t="s">
        <v>33</v>
      </c>
      <c r="M152" s="82" t="s">
        <v>34</v>
      </c>
      <c r="N152" s="82"/>
      <c r="O152" s="82" t="s">
        <v>234</v>
      </c>
      <c r="P152" s="82"/>
      <c r="Q152" s="82" t="s">
        <v>174</v>
      </c>
      <c r="R152" s="82">
        <v>3.2662499999999999</v>
      </c>
      <c r="S152" s="82"/>
      <c r="T152" s="82" t="s">
        <v>235</v>
      </c>
      <c r="U152" s="84" t="str">
        <f>LEFT(Table3[[#This Row],[Stage]],FIND(".",Table3[[#This Row],[Stage]],1)-1)</f>
        <v>3</v>
      </c>
      <c r="V152" s="82" t="str">
        <f>VLOOKUP(ABS(Table3[[#This Row],[Type]]),[1]!Table9[#All],2)</f>
        <v>Masonary</v>
      </c>
    </row>
    <row r="153" spans="1:22" x14ac:dyDescent="0.45">
      <c r="A153" s="74">
        <v>44328</v>
      </c>
      <c r="B153" s="78" t="s">
        <v>232</v>
      </c>
      <c r="C153" s="123">
        <v>3.26</v>
      </c>
      <c r="D153" s="82" t="s">
        <v>233</v>
      </c>
      <c r="E153" s="78" t="s">
        <v>67</v>
      </c>
      <c r="F153" s="79"/>
      <c r="G153" s="80">
        <v>1</v>
      </c>
      <c r="H153" s="79">
        <v>9800</v>
      </c>
      <c r="I153" s="79"/>
      <c r="J153" s="85">
        <f>(Table3[[#This Row],[QTY]]*Table3[[#This Row],[Supplies Cost]])+Table3[[#This Row],[Tax/Fees]]</f>
        <v>9800</v>
      </c>
      <c r="K153" s="82"/>
      <c r="L153" s="124" t="s">
        <v>33</v>
      </c>
      <c r="M153" s="82" t="s">
        <v>34</v>
      </c>
      <c r="N153" s="82"/>
      <c r="O153" s="82" t="s">
        <v>234</v>
      </c>
      <c r="P153" s="82"/>
      <c r="Q153" s="82" t="s">
        <v>174</v>
      </c>
      <c r="R153" s="82">
        <v>3.2662499999999999</v>
      </c>
      <c r="S153" s="82"/>
      <c r="T153" s="82" t="s">
        <v>178</v>
      </c>
      <c r="U153" s="84" t="str">
        <f>LEFT(Table3[[#This Row],[Stage]],FIND(".",Table3[[#This Row],[Stage]],1)-1)</f>
        <v>3</v>
      </c>
      <c r="V153" s="82" t="str">
        <f>VLOOKUP(ABS(Table3[[#This Row],[Type]]),[1]!Table9[#All],2)</f>
        <v>Masonary</v>
      </c>
    </row>
    <row r="154" spans="1:22" x14ac:dyDescent="0.45">
      <c r="A154" s="74">
        <v>44328</v>
      </c>
      <c r="B154" s="78" t="s">
        <v>232</v>
      </c>
      <c r="C154" s="123">
        <v>3.26</v>
      </c>
      <c r="D154" s="82" t="s">
        <v>233</v>
      </c>
      <c r="E154" s="78" t="s">
        <v>67</v>
      </c>
      <c r="F154" s="79"/>
      <c r="G154" s="80">
        <v>1</v>
      </c>
      <c r="H154" s="79">
        <v>1000</v>
      </c>
      <c r="I154" s="79"/>
      <c r="J154" s="85">
        <f>(Table3[[#This Row],[QTY]]*Table3[[#This Row],[Supplies Cost]])+Table3[[#This Row],[Tax/Fees]]</f>
        <v>1000</v>
      </c>
      <c r="K154" s="82"/>
      <c r="L154" s="124" t="s">
        <v>33</v>
      </c>
      <c r="M154" s="82" t="s">
        <v>34</v>
      </c>
      <c r="N154" s="82"/>
      <c r="O154" s="82" t="s">
        <v>234</v>
      </c>
      <c r="P154" s="82"/>
      <c r="Q154" s="82" t="s">
        <v>174</v>
      </c>
      <c r="R154" s="82">
        <v>3.2662499999999999</v>
      </c>
      <c r="S154" s="82"/>
      <c r="T154" s="82" t="s">
        <v>236</v>
      </c>
      <c r="U154" s="84" t="str">
        <f>LEFT(Table3[[#This Row],[Stage]],FIND(".",Table3[[#This Row],[Stage]],1)-1)</f>
        <v>3</v>
      </c>
      <c r="V154" s="82" t="str">
        <f>VLOOKUP(ABS(Table3[[#This Row],[Type]]),[1]!Table9[#All],2)</f>
        <v>Masonary</v>
      </c>
    </row>
    <row r="155" spans="1:22" x14ac:dyDescent="0.45">
      <c r="A155" s="74">
        <v>44328</v>
      </c>
      <c r="B155" s="78" t="s">
        <v>232</v>
      </c>
      <c r="C155" s="123">
        <v>3.26</v>
      </c>
      <c r="D155" s="82" t="s">
        <v>233</v>
      </c>
      <c r="E155" s="78" t="s">
        <v>67</v>
      </c>
      <c r="F155" s="79"/>
      <c r="G155" s="80">
        <v>1</v>
      </c>
      <c r="H155" s="79">
        <v>400</v>
      </c>
      <c r="I155" s="79"/>
      <c r="J155" s="85">
        <f>(Table3[[#This Row],[QTY]]*Table3[[#This Row],[Supplies Cost]])+Table3[[#This Row],[Tax/Fees]]</f>
        <v>400</v>
      </c>
      <c r="K155" s="82"/>
      <c r="L155" s="124" t="s">
        <v>33</v>
      </c>
      <c r="M155" s="86" t="s">
        <v>34</v>
      </c>
      <c r="N155" s="82"/>
      <c r="O155" s="82" t="s">
        <v>234</v>
      </c>
      <c r="P155" s="82"/>
      <c r="Q155" s="82" t="s">
        <v>174</v>
      </c>
      <c r="R155" s="82">
        <v>3.2662499999999999</v>
      </c>
      <c r="S155" s="82"/>
      <c r="T155" s="82" t="s">
        <v>98</v>
      </c>
      <c r="U155" s="84" t="str">
        <f>LEFT(Table3[[#This Row],[Stage]],FIND(".",Table3[[#This Row],[Stage]],1)-1)</f>
        <v>3</v>
      </c>
      <c r="V155" s="82" t="str">
        <f>VLOOKUP(ABS(Table3[[#This Row],[Type]]),[1]!Table9[#All],2)</f>
        <v>Masonary</v>
      </c>
    </row>
    <row r="156" spans="1:22" x14ac:dyDescent="0.45">
      <c r="A156" s="74">
        <v>44328</v>
      </c>
      <c r="B156" s="78" t="s">
        <v>232</v>
      </c>
      <c r="C156" s="123">
        <v>3.26</v>
      </c>
      <c r="D156" s="82" t="s">
        <v>233</v>
      </c>
      <c r="E156" s="78" t="s">
        <v>67</v>
      </c>
      <c r="F156" s="79"/>
      <c r="G156" s="80">
        <v>1</v>
      </c>
      <c r="H156" s="79">
        <v>1000</v>
      </c>
      <c r="I156" s="79"/>
      <c r="J156" s="85">
        <f>(Table3[[#This Row],[QTY]]*Table3[[#This Row],[Supplies Cost]])+Table3[[#This Row],[Tax/Fees]]</f>
        <v>1000</v>
      </c>
      <c r="K156" s="82">
        <v>14000</v>
      </c>
      <c r="L156" s="124" t="s">
        <v>33</v>
      </c>
      <c r="M156" s="82" t="s">
        <v>34</v>
      </c>
      <c r="N156" s="82"/>
      <c r="O156" s="82" t="s">
        <v>234</v>
      </c>
      <c r="P156" s="82"/>
      <c r="Q156" s="82" t="s">
        <v>174</v>
      </c>
      <c r="R156" s="82">
        <v>3.2662499999999999</v>
      </c>
      <c r="S156" s="82"/>
      <c r="T156" s="82" t="s">
        <v>98</v>
      </c>
      <c r="U156" s="84" t="str">
        <f>LEFT(Table3[[#This Row],[Stage]],FIND(".",Table3[[#This Row],[Stage]],1)-1)</f>
        <v>3</v>
      </c>
      <c r="V156" s="82" t="str">
        <f>VLOOKUP(ABS(Table3[[#This Row],[Type]]),[1]!Table9[#All],2)</f>
        <v>Masonary</v>
      </c>
    </row>
    <row r="157" spans="1:22" x14ac:dyDescent="0.45">
      <c r="A157" s="24">
        <v>44329</v>
      </c>
      <c r="B157" s="25" t="s">
        <v>237</v>
      </c>
      <c r="C157" s="34">
        <v>7.22</v>
      </c>
      <c r="D157" s="27" t="s">
        <v>213</v>
      </c>
      <c r="E157" s="25" t="s">
        <v>69</v>
      </c>
      <c r="F157" s="125"/>
      <c r="G157" s="29">
        <v>1</v>
      </c>
      <c r="H157" s="28">
        <v>2885</v>
      </c>
      <c r="I157" s="30"/>
      <c r="J157" s="30">
        <f>(Table3[[#This Row],[QTY]]*Table3[[#This Row],[Supplies Cost]])+Table3[[#This Row],[Tax/Fees]]</f>
        <v>2885</v>
      </c>
      <c r="K157" s="31"/>
      <c r="L157" s="33" t="s">
        <v>33</v>
      </c>
      <c r="M157" s="31" t="s">
        <v>34</v>
      </c>
      <c r="N157" s="31"/>
      <c r="O157" s="31"/>
      <c r="P157" s="31"/>
      <c r="Q157" s="31" t="s">
        <v>174</v>
      </c>
      <c r="R157" s="31">
        <v>7.2289000000000003</v>
      </c>
      <c r="S157" s="31"/>
      <c r="T157" s="31" t="s">
        <v>111</v>
      </c>
      <c r="U157" s="32" t="str">
        <f>LEFT(Table3[[#This Row],[Stage]],FIND(".",Table3[[#This Row],[Stage]],1)-1)</f>
        <v>7</v>
      </c>
      <c r="V157" s="31" t="str">
        <f>VLOOKUP(ABS(Table3[[#This Row],[Type]]),[1]!Table9[#All],2)</f>
        <v>Carpentry</v>
      </c>
    </row>
    <row r="158" spans="1:22" x14ac:dyDescent="0.45">
      <c r="A158" s="24">
        <v>44329</v>
      </c>
      <c r="B158" s="25" t="s">
        <v>238</v>
      </c>
      <c r="C158" s="94">
        <v>3.1</v>
      </c>
      <c r="D158" s="31" t="s">
        <v>213</v>
      </c>
      <c r="E158" s="25" t="s">
        <v>239</v>
      </c>
      <c r="F158" s="28"/>
      <c r="G158" s="29">
        <v>2</v>
      </c>
      <c r="H158" s="28">
        <v>1233.75</v>
      </c>
      <c r="I158" s="28"/>
      <c r="J158" s="30">
        <f>(Table3[[#This Row],[QTY]]*Table3[[#This Row],[Supplies Cost]])+Table3[[#This Row],[Tax/Fees]]</f>
        <v>2467.5</v>
      </c>
      <c r="K158" s="31"/>
      <c r="L158" s="33" t="s">
        <v>33</v>
      </c>
      <c r="M158" s="31" t="s">
        <v>47</v>
      </c>
      <c r="N158" s="31"/>
      <c r="O158" s="31"/>
      <c r="P158" s="31"/>
      <c r="Q158" s="31" t="s">
        <v>174</v>
      </c>
      <c r="R158" s="31">
        <v>3.1635</v>
      </c>
      <c r="S158" s="31"/>
      <c r="T158" s="31" t="s">
        <v>178</v>
      </c>
      <c r="U158" s="32" t="str">
        <f>LEFT(Table3[[#This Row],[Stage]],FIND(".",Table3[[#This Row],[Stage]],1)-1)</f>
        <v>3</v>
      </c>
      <c r="V158" s="31" t="str">
        <f>VLOOKUP(ABS(Table3[[#This Row],[Type]]),[1]!Table9[#All],2)</f>
        <v>Masonary</v>
      </c>
    </row>
    <row r="159" spans="1:22" x14ac:dyDescent="0.45">
      <c r="A159" s="24">
        <v>44329</v>
      </c>
      <c r="B159" t="s">
        <v>240</v>
      </c>
      <c r="C159" s="43">
        <v>5.64</v>
      </c>
      <c r="D159" s="31" t="s">
        <v>213</v>
      </c>
      <c r="E159" s="25" t="s">
        <v>116</v>
      </c>
      <c r="F159" s="29">
        <v>1</v>
      </c>
      <c r="G159" s="29">
        <v>1</v>
      </c>
      <c r="H159" s="28">
        <v>180</v>
      </c>
      <c r="I159" s="28">
        <v>36.75</v>
      </c>
      <c r="J159" s="30">
        <f>(Table3[[#This Row],[QTY]]*Table3[[#This Row],[Supplies Cost]])+Table3[[#This Row],[Tax/Fees]]</f>
        <v>216.75</v>
      </c>
      <c r="K159" s="31"/>
      <c r="L159" s="33" t="s">
        <v>33</v>
      </c>
      <c r="M159" s="31" t="s">
        <v>77</v>
      </c>
      <c r="N159" s="31"/>
      <c r="O159" s="31"/>
      <c r="P159" s="31"/>
      <c r="Q159" s="31"/>
      <c r="R159" s="31">
        <v>5.6471499999999999</v>
      </c>
      <c r="S159" s="31"/>
      <c r="T159" s="31" t="s">
        <v>188</v>
      </c>
      <c r="U159" s="32" t="str">
        <f>LEFT(Table3[[#This Row],[Stage]],FIND(".",Table3[[#This Row],[Stage]],1)-1)</f>
        <v>5</v>
      </c>
      <c r="V159" s="31" t="str">
        <f>VLOOKUP(ABS(Table3[[#This Row],[Type]]),[1]!Table9[#All],2)</f>
        <v>Earthworks</v>
      </c>
    </row>
    <row r="160" spans="1:22" x14ac:dyDescent="0.45">
      <c r="A160" s="24">
        <v>44329</v>
      </c>
      <c r="B160" t="s">
        <v>241</v>
      </c>
      <c r="C160" s="34">
        <v>3.1</v>
      </c>
      <c r="D160" s="31" t="s">
        <v>213</v>
      </c>
      <c r="E160" s="25" t="s">
        <v>190</v>
      </c>
      <c r="F160" s="29">
        <v>1</v>
      </c>
      <c r="G160" s="29">
        <v>1</v>
      </c>
      <c r="H160" s="28">
        <v>90</v>
      </c>
      <c r="I160" s="28"/>
      <c r="J160" s="30">
        <f>(Table3[[#This Row],[QTY]]*Table3[[#This Row],[Supplies Cost]])+Table3[[#This Row],[Tax/Fees]]</f>
        <v>90</v>
      </c>
      <c r="K160" s="31"/>
      <c r="L160" s="33" t="s">
        <v>33</v>
      </c>
      <c r="M160" s="31" t="s">
        <v>77</v>
      </c>
      <c r="N160" s="31"/>
      <c r="O160" s="31"/>
      <c r="P160" s="31"/>
      <c r="Q160" s="31" t="s">
        <v>174</v>
      </c>
      <c r="R160" s="31">
        <v>3.1629999999999998</v>
      </c>
      <c r="S160" s="31"/>
      <c r="T160" s="31" t="s">
        <v>129</v>
      </c>
      <c r="U160" s="32" t="str">
        <f>LEFT(Table3[[#This Row],[Stage]],FIND(".",Table3[[#This Row],[Stage]],1)-1)</f>
        <v>3</v>
      </c>
      <c r="V160" s="31" t="str">
        <f>VLOOKUP(ABS(Table3[[#This Row],[Type]]),[1]!Table9[#All],2)</f>
        <v>Masonary</v>
      </c>
    </row>
    <row r="161" spans="1:22" x14ac:dyDescent="0.45">
      <c r="A161" s="24">
        <v>44329</v>
      </c>
      <c r="B161" t="s">
        <v>242</v>
      </c>
      <c r="C161" s="43">
        <v>5.64</v>
      </c>
      <c r="D161" s="31" t="s">
        <v>213</v>
      </c>
      <c r="E161" s="25" t="s">
        <v>116</v>
      </c>
      <c r="F161" s="29">
        <v>1</v>
      </c>
      <c r="G161" s="29">
        <v>1</v>
      </c>
      <c r="H161" s="28">
        <v>30</v>
      </c>
      <c r="I161" s="28"/>
      <c r="J161" s="30">
        <f>(Table3[[#This Row],[QTY]]*Table3[[#This Row],[Supplies Cost]])+Table3[[#This Row],[Tax/Fees]]</f>
        <v>30</v>
      </c>
      <c r="K161" s="31"/>
      <c r="L161" s="33" t="s">
        <v>33</v>
      </c>
      <c r="M161" s="31" t="s">
        <v>77</v>
      </c>
      <c r="N161" s="31"/>
      <c r="O161" s="31"/>
      <c r="P161" s="31"/>
      <c r="Q161" s="31"/>
      <c r="R161" s="31">
        <v>5.6471999999999998</v>
      </c>
      <c r="S161" s="31"/>
      <c r="T161" s="31" t="s">
        <v>188</v>
      </c>
      <c r="U161" s="32" t="str">
        <f>LEFT(Table3[[#This Row],[Stage]],FIND(".",Table3[[#This Row],[Stage]],1)-1)</f>
        <v>5</v>
      </c>
      <c r="V161" s="31" t="str">
        <f>VLOOKUP(ABS(Table3[[#This Row],[Type]]),[1]!Table9[#All],2)</f>
        <v>Earthworks</v>
      </c>
    </row>
    <row r="162" spans="1:22" x14ac:dyDescent="0.45">
      <c r="A162" s="24">
        <v>44329</v>
      </c>
      <c r="B162" s="25" t="s">
        <v>146</v>
      </c>
      <c r="C162" s="94">
        <v>10.199999999999999</v>
      </c>
      <c r="D162" s="31" t="s">
        <v>213</v>
      </c>
      <c r="E162" s="25" t="s">
        <v>71</v>
      </c>
      <c r="F162" s="28"/>
      <c r="G162" s="29">
        <v>1</v>
      </c>
      <c r="H162" s="28">
        <v>1028.75</v>
      </c>
      <c r="I162" s="28"/>
      <c r="J162" s="30">
        <f>(Table3[[#This Row],[QTY]]*Table3[[#This Row],[Supplies Cost]])+Table3[[#This Row],[Tax/Fees]]</f>
        <v>1028.75</v>
      </c>
      <c r="K162" s="31"/>
      <c r="L162" s="33" t="s">
        <v>33</v>
      </c>
      <c r="M162" s="31" t="s">
        <v>47</v>
      </c>
      <c r="N162" s="31"/>
      <c r="O162" s="31"/>
      <c r="P162" s="31"/>
      <c r="Q162" s="31" t="s">
        <v>174</v>
      </c>
      <c r="R162" s="31">
        <v>10.263999999999999</v>
      </c>
      <c r="S162" s="31"/>
      <c r="T162" s="31" t="s">
        <v>50</v>
      </c>
      <c r="U162" s="32" t="str">
        <f>LEFT(Table3[[#This Row],[Stage]],FIND(".",Table3[[#This Row],[Stage]],1)-1)</f>
        <v>10</v>
      </c>
      <c r="V162" s="31" t="str">
        <f>VLOOKUP(ABS(Table3[[#This Row],[Type]]),[1]!Table9[#All],2)</f>
        <v>Plumbing</v>
      </c>
    </row>
    <row r="163" spans="1:22" x14ac:dyDescent="0.45">
      <c r="A163" s="24">
        <v>44331</v>
      </c>
      <c r="B163" s="25" t="s">
        <v>243</v>
      </c>
      <c r="C163" s="94">
        <v>3.26</v>
      </c>
      <c r="D163" s="31" t="s">
        <v>233</v>
      </c>
      <c r="E163" s="25" t="s">
        <v>67</v>
      </c>
      <c r="F163" s="28"/>
      <c r="G163" s="29">
        <v>1</v>
      </c>
      <c r="H163" s="28">
        <v>330</v>
      </c>
      <c r="I163" s="28"/>
      <c r="J163" s="30">
        <f>(Table3[[#This Row],[QTY]]*Table3[[#This Row],[Supplies Cost]])+Table3[[#This Row],[Tax/Fees]]</f>
        <v>330</v>
      </c>
      <c r="K163" s="31"/>
      <c r="L163" s="33" t="s">
        <v>33</v>
      </c>
      <c r="M163" s="31" t="s">
        <v>77</v>
      </c>
      <c r="N163" s="31"/>
      <c r="O163" s="31"/>
      <c r="P163" s="31"/>
      <c r="Q163" s="31"/>
      <c r="R163" s="31">
        <v>3.2610000000000001</v>
      </c>
      <c r="S163" s="31"/>
      <c r="T163" s="31" t="s">
        <v>244</v>
      </c>
      <c r="U163" s="32" t="str">
        <f>LEFT(Table3[[#This Row],[Stage]],FIND(".",Table3[[#This Row],[Stage]],1)-1)</f>
        <v>3</v>
      </c>
      <c r="V163" s="31" t="str">
        <f>VLOOKUP(ABS(Table3[[#This Row],[Type]]),[1]!Table9[#All],2)</f>
        <v>Masonary</v>
      </c>
    </row>
    <row r="164" spans="1:22" x14ac:dyDescent="0.45">
      <c r="A164" s="24">
        <v>44333</v>
      </c>
      <c r="B164" t="s">
        <v>134</v>
      </c>
      <c r="C164" s="34">
        <v>3.11</v>
      </c>
      <c r="D164" s="90" t="s">
        <v>213</v>
      </c>
      <c r="E164" t="s">
        <v>108</v>
      </c>
      <c r="F164" s="58"/>
      <c r="G164" s="126">
        <v>3</v>
      </c>
      <c r="H164" s="58">
        <v>911.8</v>
      </c>
      <c r="I164" s="58"/>
      <c r="J164" s="109">
        <f>(Table3[[#This Row],[QTY]]*Table3[[#This Row],[Supplies Cost]])+Table3[[#This Row],[Tax/Fees]]</f>
        <v>2735.3999999999996</v>
      </c>
      <c r="L164" s="4" t="s">
        <v>33</v>
      </c>
      <c r="M164" s="1" t="s">
        <v>47</v>
      </c>
      <c r="N164" s="40"/>
      <c r="O164" s="40">
        <v>387985</v>
      </c>
      <c r="P164" s="40"/>
      <c r="Q164" s="40" t="s">
        <v>174</v>
      </c>
      <c r="R164" s="40">
        <v>3.1164499999999999</v>
      </c>
      <c r="S164" s="40"/>
      <c r="T164" s="40" t="s">
        <v>188</v>
      </c>
      <c r="U164" s="32" t="str">
        <f>LEFT(Table3[[#This Row],[Stage]],FIND(".",Table3[[#This Row],[Stage]],1)-1)</f>
        <v>3</v>
      </c>
      <c r="V164" s="31" t="str">
        <f>VLOOKUP(ABS(Table3[[#This Row],[Type]]),[1]!Table9[#All],2)</f>
        <v>Masonary</v>
      </c>
    </row>
    <row r="165" spans="1:22" x14ac:dyDescent="0.45">
      <c r="A165" s="24">
        <v>44333</v>
      </c>
      <c r="B165" t="s">
        <v>245</v>
      </c>
      <c r="C165" s="34">
        <v>3.11</v>
      </c>
      <c r="D165" s="27" t="s">
        <v>213</v>
      </c>
      <c r="E165" t="s">
        <v>108</v>
      </c>
      <c r="F165" s="28"/>
      <c r="G165" s="29">
        <v>1</v>
      </c>
      <c r="H165" s="28">
        <v>1144.45</v>
      </c>
      <c r="I165" s="28"/>
      <c r="J165" s="109">
        <f>(Table3[[#This Row],[QTY]]*Table3[[#This Row],[Supplies Cost]])+Table3[[#This Row],[Tax/Fees]]</f>
        <v>1144.45</v>
      </c>
      <c r="K165" s="31"/>
      <c r="L165" s="33" t="s">
        <v>33</v>
      </c>
      <c r="M165" s="31" t="s">
        <v>47</v>
      </c>
      <c r="N165" s="31"/>
      <c r="O165" s="40">
        <v>387985</v>
      </c>
      <c r="P165" s="31"/>
      <c r="Q165" s="40" t="s">
        <v>174</v>
      </c>
      <c r="R165" s="31">
        <v>3.1164999999999998</v>
      </c>
      <c r="S165" s="31"/>
      <c r="T165" s="31" t="s">
        <v>178</v>
      </c>
      <c r="U165" s="32" t="str">
        <f>LEFT(Table3[[#This Row],[Stage]],FIND(".",Table3[[#This Row],[Stage]],1)-1)</f>
        <v>3</v>
      </c>
      <c r="V165" s="31" t="str">
        <f>VLOOKUP(ABS(Table3[[#This Row],[Type]]),[1]!Table9[#All],2)</f>
        <v>Masonary</v>
      </c>
    </row>
    <row r="166" spans="1:22" x14ac:dyDescent="0.45">
      <c r="A166" s="24">
        <v>44333</v>
      </c>
      <c r="B166" t="s">
        <v>246</v>
      </c>
      <c r="C166" s="127">
        <v>3.06</v>
      </c>
      <c r="D166" s="27" t="s">
        <v>213</v>
      </c>
      <c r="E166" s="25" t="s">
        <v>71</v>
      </c>
      <c r="F166" s="28"/>
      <c r="G166" s="126">
        <v>1</v>
      </c>
      <c r="H166" s="28">
        <v>3250.64</v>
      </c>
      <c r="I166" s="28"/>
      <c r="J166" s="109">
        <f>(Table3[[#This Row],[QTY]]*Table3[[#This Row],[Supplies Cost]])+Table3[[#This Row],[Tax/Fees]]</f>
        <v>3250.64</v>
      </c>
      <c r="L166" s="33" t="s">
        <v>33</v>
      </c>
      <c r="M166" s="31" t="s">
        <v>47</v>
      </c>
      <c r="N166" s="31"/>
      <c r="O166" s="1"/>
      <c r="P166" s="31"/>
      <c r="Q166" s="40" t="s">
        <v>102</v>
      </c>
      <c r="R166" s="31">
        <v>3.0666000000000002</v>
      </c>
      <c r="S166" s="31"/>
      <c r="T166" s="31" t="s">
        <v>188</v>
      </c>
      <c r="U166" s="32" t="str">
        <f>LEFT(Table3[[#This Row],[Stage]],FIND(".",Table3[[#This Row],[Stage]],1)-1)</f>
        <v>3</v>
      </c>
      <c r="V166" s="31" t="str">
        <f>VLOOKUP(ABS(Table3[[#This Row],[Type]]),[1]!Table9[#All],2)</f>
        <v>Masonary</v>
      </c>
    </row>
    <row r="167" spans="1:22" x14ac:dyDescent="0.45">
      <c r="A167" s="24">
        <v>44334</v>
      </c>
      <c r="B167" t="s">
        <v>247</v>
      </c>
      <c r="C167" s="128">
        <v>5.42</v>
      </c>
      <c r="D167" s="90" t="s">
        <v>45</v>
      </c>
      <c r="E167" s="28" t="s">
        <v>64</v>
      </c>
      <c r="F167" s="28"/>
      <c r="G167" s="126">
        <v>1</v>
      </c>
      <c r="H167" s="28">
        <v>390</v>
      </c>
      <c r="I167" s="28"/>
      <c r="J167" s="109">
        <f>(Table3[[#This Row],[QTY]]*Table3[[#This Row],[Supplies Cost]])+Table3[[#This Row],[Tax/Fees]]</f>
        <v>390</v>
      </c>
      <c r="K167" s="4">
        <v>8680</v>
      </c>
      <c r="L167" s="33" t="s">
        <v>33</v>
      </c>
      <c r="M167" s="31" t="s">
        <v>47</v>
      </c>
      <c r="N167" s="31"/>
      <c r="O167" s="1" t="s">
        <v>224</v>
      </c>
      <c r="P167" s="31"/>
      <c r="Q167" s="40"/>
      <c r="R167" s="31">
        <v>5.4271500000000001</v>
      </c>
      <c r="S167" s="31"/>
      <c r="T167" s="31" t="s">
        <v>56</v>
      </c>
      <c r="U167" s="32" t="str">
        <f>LEFT(Table3[[#This Row],[Stage]],FIND(".",Table3[[#This Row],[Stage]],1)-1)</f>
        <v>5</v>
      </c>
      <c r="V167" s="31" t="str">
        <f>VLOOKUP(ABS(Table3[[#This Row],[Type]]),[1]!Table9[#All],2)</f>
        <v>Earthworks</v>
      </c>
    </row>
    <row r="168" spans="1:22" x14ac:dyDescent="0.45">
      <c r="A168" s="24">
        <v>44337</v>
      </c>
      <c r="B168" t="s">
        <v>248</v>
      </c>
      <c r="C168" s="43">
        <v>7.22</v>
      </c>
      <c r="D168" s="27" t="s">
        <v>213</v>
      </c>
      <c r="E168" s="28" t="s">
        <v>69</v>
      </c>
      <c r="F168" s="28"/>
      <c r="G168" s="126">
        <v>1</v>
      </c>
      <c r="H168" s="28">
        <f>10386-8078</f>
        <v>2308</v>
      </c>
      <c r="I168" s="28"/>
      <c r="J168" s="30">
        <f>(Table3[[#This Row],[QTY]]*Table3[[#This Row],[Supplies Cost]])+Table3[[#This Row],[Tax/Fees]]</f>
        <v>2308</v>
      </c>
      <c r="L168" s="33" t="s">
        <v>33</v>
      </c>
      <c r="M168" s="31" t="s">
        <v>34</v>
      </c>
      <c r="N168" s="31"/>
      <c r="O168" s="1">
        <v>21052001</v>
      </c>
      <c r="P168" s="31"/>
      <c r="Q168" s="40"/>
      <c r="R168" s="31">
        <v>7.2272499999999997</v>
      </c>
      <c r="S168" s="31"/>
      <c r="T168" s="31" t="s">
        <v>111</v>
      </c>
      <c r="U168" s="32" t="str">
        <f>LEFT(Table3[[#This Row],[Stage]],FIND(".",Table3[[#This Row],[Stage]],1)-1)</f>
        <v>7</v>
      </c>
      <c r="V168" s="31" t="str">
        <f>VLOOKUP(ABS(Table3[[#This Row],[Type]]),[1]!Table9[#All],2)</f>
        <v>Carpentry</v>
      </c>
    </row>
    <row r="169" spans="1:22" x14ac:dyDescent="0.45">
      <c r="A169" s="24">
        <v>44337</v>
      </c>
      <c r="B169" s="25" t="s">
        <v>249</v>
      </c>
      <c r="C169" s="34">
        <v>13.3</v>
      </c>
      <c r="D169" s="27" t="s">
        <v>213</v>
      </c>
      <c r="E169" s="28" t="s">
        <v>69</v>
      </c>
      <c r="F169" s="125"/>
      <c r="G169" s="29">
        <v>1</v>
      </c>
      <c r="H169" s="28">
        <v>51.29</v>
      </c>
      <c r="I169" s="30">
        <v>8.98</v>
      </c>
      <c r="J169" s="109">
        <f>(Table3[[#This Row],[QTY]]*Table3[[#This Row],[Supplies Cost]])+Table3[[#This Row],[Tax/Fees]]</f>
        <v>60.269999999999996</v>
      </c>
      <c r="L169" s="33" t="s">
        <v>33</v>
      </c>
      <c r="M169" s="31" t="s">
        <v>47</v>
      </c>
      <c r="N169" s="31" t="s">
        <v>65</v>
      </c>
      <c r="O169" s="31"/>
      <c r="P169" s="31"/>
      <c r="Q169" s="31" t="s">
        <v>157</v>
      </c>
      <c r="R169" s="31">
        <v>13.385</v>
      </c>
      <c r="S169" s="31"/>
      <c r="T169" s="31" t="s">
        <v>178</v>
      </c>
      <c r="U169" s="32" t="str">
        <f>LEFT(Table3[[#This Row],[Stage]],FIND(".",Table3[[#This Row],[Stage]],1)-1)</f>
        <v>13</v>
      </c>
      <c r="V169" s="31" t="str">
        <f>VLOOKUP(ABS(Table3[[#This Row],[Type]]),[1]!Table9[#All],2)</f>
        <v>Electrical</v>
      </c>
    </row>
    <row r="170" spans="1:22" x14ac:dyDescent="0.45">
      <c r="A170" s="24">
        <v>44337</v>
      </c>
      <c r="B170" t="s">
        <v>250</v>
      </c>
      <c r="C170" s="128">
        <v>10.34</v>
      </c>
      <c r="D170" s="40" t="s">
        <v>213</v>
      </c>
      <c r="E170" s="28" t="s">
        <v>69</v>
      </c>
      <c r="F170" s="28"/>
      <c r="G170" s="126">
        <v>1</v>
      </c>
      <c r="H170" s="28">
        <v>2430</v>
      </c>
      <c r="I170" s="28"/>
      <c r="J170" s="109">
        <f>(Table3[[#This Row],[QTY]]*Table3[[#This Row],[Supplies Cost]])+Table3[[#This Row],[Tax/Fees]]</f>
        <v>2430</v>
      </c>
      <c r="L170" s="33" t="s">
        <v>33</v>
      </c>
      <c r="M170" s="31" t="s">
        <v>34</v>
      </c>
      <c r="N170" s="31"/>
      <c r="O170" s="31">
        <v>21052001</v>
      </c>
      <c r="P170" s="31"/>
      <c r="Q170" s="31"/>
      <c r="R170" s="31">
        <v>10.347300000000001</v>
      </c>
      <c r="S170" s="31"/>
      <c r="T170" s="40" t="s">
        <v>50</v>
      </c>
      <c r="U170" s="32" t="str">
        <f>LEFT(Table3[[#This Row],[Stage]],FIND(".",Table3[[#This Row],[Stage]],1)-1)</f>
        <v>10</v>
      </c>
      <c r="V170" s="31" t="str">
        <f>VLOOKUP(ABS(Table3[[#This Row],[Type]]),[1]!Table9[#All],2)</f>
        <v>Plumbing</v>
      </c>
    </row>
    <row r="171" spans="1:22" x14ac:dyDescent="0.45">
      <c r="A171" s="24">
        <v>44337</v>
      </c>
      <c r="B171" t="s">
        <v>251</v>
      </c>
      <c r="C171" s="128">
        <v>10.34</v>
      </c>
      <c r="D171" s="40" t="s">
        <v>213</v>
      </c>
      <c r="E171" s="58" t="s">
        <v>69</v>
      </c>
      <c r="F171" s="28"/>
      <c r="G171" s="126">
        <v>1</v>
      </c>
      <c r="H171" s="28">
        <v>525</v>
      </c>
      <c r="I171" s="28"/>
      <c r="J171" s="109">
        <f>(Table3[[#This Row],[QTY]]*Table3[[#This Row],[Supplies Cost]])+Table3[[#This Row],[Tax/Fees]]</f>
        <v>525</v>
      </c>
      <c r="L171" s="33" t="s">
        <v>33</v>
      </c>
      <c r="M171" s="31" t="s">
        <v>34</v>
      </c>
      <c r="N171" s="31"/>
      <c r="O171" s="31">
        <v>21052001</v>
      </c>
      <c r="P171" s="31"/>
      <c r="Q171" s="31"/>
      <c r="R171" s="31">
        <v>10.34735</v>
      </c>
      <c r="S171" s="31"/>
      <c r="T171" s="40" t="s">
        <v>50</v>
      </c>
      <c r="U171" s="32" t="str">
        <f>LEFT(Table3[[#This Row],[Stage]],FIND(".",Table3[[#This Row],[Stage]],1)-1)</f>
        <v>10</v>
      </c>
      <c r="V171" s="31" t="str">
        <f>VLOOKUP(ABS(Table3[[#This Row],[Type]]),[1]!Table9[#All],2)</f>
        <v>Plumbing</v>
      </c>
    </row>
    <row r="172" spans="1:22" x14ac:dyDescent="0.45">
      <c r="A172" s="24">
        <v>44340</v>
      </c>
      <c r="B172" t="s">
        <v>252</v>
      </c>
      <c r="C172" s="57">
        <v>13.3</v>
      </c>
      <c r="D172" s="90" t="s">
        <v>213</v>
      </c>
      <c r="E172" s="58" t="s">
        <v>69</v>
      </c>
      <c r="F172" s="125"/>
      <c r="G172" s="126">
        <v>1</v>
      </c>
      <c r="H172" s="28">
        <f>200.31-(200.31*0.1)</f>
        <v>180.279</v>
      </c>
      <c r="I172" s="30">
        <v>31.55</v>
      </c>
      <c r="J172" s="109">
        <f>(Table3[[#This Row],[QTY]]*Table3[[#This Row],[Supplies Cost]])+Table3[[#This Row],[Tax/Fees]]</f>
        <v>211.82900000000001</v>
      </c>
      <c r="L172" s="33" t="s">
        <v>33</v>
      </c>
      <c r="M172" s="31" t="s">
        <v>47</v>
      </c>
      <c r="N172" s="31" t="s">
        <v>65</v>
      </c>
      <c r="O172" s="31">
        <v>342012</v>
      </c>
      <c r="P172" s="31"/>
      <c r="Q172" s="31" t="s">
        <v>157</v>
      </c>
      <c r="R172" s="31">
        <v>13.3855</v>
      </c>
      <c r="S172" s="31"/>
      <c r="T172" s="31" t="s">
        <v>178</v>
      </c>
      <c r="U172" s="32" t="str">
        <f>LEFT(Table3[[#This Row],[Stage]],FIND(".",Table3[[#This Row],[Stage]],1)-1)</f>
        <v>13</v>
      </c>
      <c r="V172" s="31" t="str">
        <f>VLOOKUP(ABS(Table3[[#This Row],[Type]]),[1]!Table9[#All],2)</f>
        <v>Electrical</v>
      </c>
    </row>
    <row r="173" spans="1:22" x14ac:dyDescent="0.45">
      <c r="A173" s="24">
        <v>44341</v>
      </c>
      <c r="B173" t="s">
        <v>253</v>
      </c>
      <c r="C173" s="127">
        <v>3.06</v>
      </c>
      <c r="D173" s="90" t="s">
        <v>213</v>
      </c>
      <c r="E173" s="56" t="s">
        <v>119</v>
      </c>
      <c r="F173" s="28"/>
      <c r="G173" s="126">
        <v>1</v>
      </c>
      <c r="H173" s="28">
        <v>18901.27</v>
      </c>
      <c r="I173" s="28"/>
      <c r="J173" s="109">
        <f>(Table3[[#This Row],[QTY]]*Table3[[#This Row],[Supplies Cost]])+Table3[[#This Row],[Tax/Fees]]</f>
        <v>18901.27</v>
      </c>
      <c r="L173" s="33" t="s">
        <v>33</v>
      </c>
      <c r="M173" s="31" t="s">
        <v>47</v>
      </c>
      <c r="N173" s="31"/>
      <c r="O173" s="31">
        <v>18287</v>
      </c>
      <c r="P173" s="31"/>
      <c r="Q173" s="31" t="s">
        <v>120</v>
      </c>
      <c r="R173" s="31">
        <v>3.0665499999999999</v>
      </c>
      <c r="S173" s="31"/>
      <c r="T173" s="40" t="s">
        <v>188</v>
      </c>
      <c r="U173" s="32" t="str">
        <f>LEFT(Table3[[#This Row],[Stage]],FIND(".",Table3[[#This Row],[Stage]],1)-1)</f>
        <v>3</v>
      </c>
      <c r="V173" s="31" t="str">
        <f>VLOOKUP(ABS(Table3[[#This Row],[Type]]),[1]!Table9[#All],2)</f>
        <v>Masonary</v>
      </c>
    </row>
    <row r="174" spans="1:22" x14ac:dyDescent="0.45">
      <c r="A174" s="24">
        <v>44341</v>
      </c>
      <c r="B174" t="s">
        <v>254</v>
      </c>
      <c r="C174" s="57">
        <v>3.06</v>
      </c>
      <c r="D174" s="90" t="s">
        <v>213</v>
      </c>
      <c r="E174" s="56" t="s">
        <v>119</v>
      </c>
      <c r="F174" s="29"/>
      <c r="G174" s="126">
        <v>1</v>
      </c>
      <c r="H174" s="28">
        <v>4245.17</v>
      </c>
      <c r="I174" s="30"/>
      <c r="J174" s="109">
        <f>(Table3[[#This Row],[QTY]]*Table3[[#This Row],[Supplies Cost]])+Table3[[#This Row],[Tax/Fees]]</f>
        <v>4245.17</v>
      </c>
      <c r="L174" s="33" t="s">
        <v>33</v>
      </c>
      <c r="M174" s="31" t="s">
        <v>47</v>
      </c>
      <c r="N174" s="31"/>
      <c r="O174" s="31">
        <v>18287</v>
      </c>
      <c r="P174" s="31"/>
      <c r="Q174" s="31" t="s">
        <v>120</v>
      </c>
      <c r="R174" s="31">
        <v>3.0677500000000002</v>
      </c>
      <c r="S174" s="31"/>
      <c r="T174" s="40" t="s">
        <v>188</v>
      </c>
      <c r="U174" s="32" t="str">
        <f>LEFT(Table3[[#This Row],[Stage]],FIND(".",Table3[[#This Row],[Stage]],1)-1)</f>
        <v>3</v>
      </c>
      <c r="V174" s="31" t="str">
        <f>VLOOKUP(ABS(Table3[[#This Row],[Type]]),[1]!Table9[#All],2)</f>
        <v>Masonary</v>
      </c>
    </row>
    <row r="175" spans="1:22" x14ac:dyDescent="0.45">
      <c r="A175" s="24">
        <v>44342</v>
      </c>
      <c r="B175" s="129" t="s">
        <v>134</v>
      </c>
      <c r="C175" s="130">
        <v>3.11</v>
      </c>
      <c r="D175" s="131" t="s">
        <v>213</v>
      </c>
      <c r="E175" s="132" t="s">
        <v>108</v>
      </c>
      <c r="F175" s="133"/>
      <c r="G175" s="134">
        <v>3</v>
      </c>
      <c r="H175" s="133">
        <v>911.8</v>
      </c>
      <c r="I175" s="133"/>
      <c r="J175" s="135">
        <f>(Table3[[#This Row],[QTY]]*Table3[[#This Row],[Supplies Cost]])+Table3[[#This Row],[Tax/Fees]]</f>
        <v>2735.3999999999996</v>
      </c>
      <c r="K175" s="136"/>
      <c r="L175" s="137" t="s">
        <v>33</v>
      </c>
      <c r="M175" s="138" t="s">
        <v>47</v>
      </c>
      <c r="N175" s="139"/>
      <c r="O175" s="139">
        <v>526367540</v>
      </c>
      <c r="P175" s="139"/>
      <c r="Q175" s="139" t="s">
        <v>174</v>
      </c>
      <c r="R175" s="139">
        <v>3.1173999999999999</v>
      </c>
      <c r="S175" s="139"/>
      <c r="T175" s="139" t="s">
        <v>178</v>
      </c>
      <c r="U175" s="32" t="str">
        <f>LEFT(Table3[[#This Row],[Stage]],FIND(".",Table3[[#This Row],[Stage]],1)-1)</f>
        <v>3</v>
      </c>
      <c r="V175" s="31" t="str">
        <f>VLOOKUP(ABS(Table3[[#This Row],[Type]]),[1]!Table9[#All],2)</f>
        <v>Masonary</v>
      </c>
    </row>
    <row r="176" spans="1:22" x14ac:dyDescent="0.45">
      <c r="A176" s="24">
        <v>44342</v>
      </c>
      <c r="B176" s="132" t="s">
        <v>255</v>
      </c>
      <c r="C176" s="130">
        <v>3.11</v>
      </c>
      <c r="D176" s="131" t="s">
        <v>213</v>
      </c>
      <c r="E176" s="132" t="s">
        <v>108</v>
      </c>
      <c r="F176" s="133"/>
      <c r="G176" s="140">
        <v>1</v>
      </c>
      <c r="H176" s="133">
        <v>940</v>
      </c>
      <c r="I176" s="133"/>
      <c r="J176" s="54">
        <f>(Table3[[#This Row],[QTY]]*Table3[[#This Row],[Supplies Cost]])+Table3[[#This Row],[Tax/Fees]]</f>
        <v>940</v>
      </c>
      <c r="K176" s="139"/>
      <c r="L176" s="137" t="s">
        <v>33</v>
      </c>
      <c r="M176" s="138" t="s">
        <v>47</v>
      </c>
      <c r="N176" s="139"/>
      <c r="O176" s="139">
        <v>526367540</v>
      </c>
      <c r="P176" s="139"/>
      <c r="Q176" s="139" t="s">
        <v>174</v>
      </c>
      <c r="R176" s="139">
        <v>3.1174499999999998</v>
      </c>
      <c r="S176" s="139"/>
      <c r="T176" s="139" t="s">
        <v>178</v>
      </c>
      <c r="U176" s="32" t="str">
        <f>LEFT(Table3[[#This Row],[Stage]],FIND(".",Table3[[#This Row],[Stage]],1)-1)</f>
        <v>3</v>
      </c>
      <c r="V176" s="31" t="str">
        <f>VLOOKUP(ABS(Table3[[#This Row],[Type]]),[1]!Table9[#All],2)</f>
        <v>Masonary</v>
      </c>
    </row>
    <row r="177" spans="1:22" x14ac:dyDescent="0.45">
      <c r="A177" s="24">
        <v>44342</v>
      </c>
      <c r="B177" s="129" t="s">
        <v>256</v>
      </c>
      <c r="C177" s="141">
        <v>3.11</v>
      </c>
      <c r="D177" s="131" t="s">
        <v>213</v>
      </c>
      <c r="E177" s="56" t="s">
        <v>71</v>
      </c>
      <c r="F177" s="133"/>
      <c r="G177" s="134">
        <v>1</v>
      </c>
      <c r="H177" s="133">
        <v>52.22</v>
      </c>
      <c r="I177" s="133"/>
      <c r="J177" s="135">
        <f>(Table3[[#This Row],[QTY]]*Table3[[#This Row],[Supplies Cost]])+Table3[[#This Row],[Tax/Fees]]</f>
        <v>52.22</v>
      </c>
      <c r="K177" s="136"/>
      <c r="L177" s="137" t="s">
        <v>33</v>
      </c>
      <c r="M177" s="138" t="s">
        <v>47</v>
      </c>
      <c r="N177" s="139"/>
      <c r="O177" s="139"/>
      <c r="P177" s="139"/>
      <c r="Q177" s="139" t="s">
        <v>174</v>
      </c>
      <c r="R177" s="139">
        <v>3.1175000000000002</v>
      </c>
      <c r="S177" s="139"/>
      <c r="T177" s="139" t="s">
        <v>178</v>
      </c>
      <c r="U177" s="32" t="str">
        <f>LEFT(Table3[[#This Row],[Stage]],FIND(".",Table3[[#This Row],[Stage]],1)-1)</f>
        <v>3</v>
      </c>
      <c r="V177" s="31" t="str">
        <f>VLOOKUP(ABS(Table3[[#This Row],[Type]]),[1]!Table9[#All],2)</f>
        <v>Masonary</v>
      </c>
    </row>
    <row r="178" spans="1:22" x14ac:dyDescent="0.45">
      <c r="A178" s="24">
        <v>44343</v>
      </c>
      <c r="B178" s="129" t="s">
        <v>257</v>
      </c>
      <c r="C178" s="141">
        <v>13.3</v>
      </c>
      <c r="D178" s="142" t="s">
        <v>199</v>
      </c>
      <c r="E178" s="143" t="s">
        <v>52</v>
      </c>
      <c r="F178" s="144"/>
      <c r="G178" s="134">
        <v>1</v>
      </c>
      <c r="H178" s="133">
        <v>42.79</v>
      </c>
      <c r="I178" s="54"/>
      <c r="J178" s="135">
        <f>(Table3[[#This Row],[QTY]]*Table3[[#This Row],[Supplies Cost]])+Table3[[#This Row],[Tax/Fees]]</f>
        <v>42.79</v>
      </c>
      <c r="K178" s="136"/>
      <c r="L178" s="137" t="s">
        <v>33</v>
      </c>
      <c r="M178" s="139" t="s">
        <v>47</v>
      </c>
      <c r="N178" s="139"/>
      <c r="O178" s="139"/>
      <c r="P178" s="139"/>
      <c r="Q178" s="139" t="s">
        <v>174</v>
      </c>
      <c r="R178" s="139">
        <v>13.382</v>
      </c>
      <c r="S178" s="139"/>
      <c r="T178" s="139" t="s">
        <v>109</v>
      </c>
      <c r="U178" s="32" t="str">
        <f>LEFT(Table3[[#This Row],[Stage]],FIND(".",Table3[[#This Row],[Stage]],1)-1)</f>
        <v>13</v>
      </c>
      <c r="V178" s="31" t="str">
        <f>VLOOKUP(ABS(Table3[[#This Row],[Type]]),[1]!Table9[#All],2)</f>
        <v>Electrical</v>
      </c>
    </row>
    <row r="179" spans="1:22" ht="30.75" x14ac:dyDescent="0.45">
      <c r="A179" s="24">
        <v>44344</v>
      </c>
      <c r="B179" s="143" t="s">
        <v>258</v>
      </c>
      <c r="C179" s="141">
        <v>13.3</v>
      </c>
      <c r="D179" s="142" t="s">
        <v>213</v>
      </c>
      <c r="E179" s="133" t="s">
        <v>69</v>
      </c>
      <c r="F179" s="144"/>
      <c r="G179" s="134">
        <v>1</v>
      </c>
      <c r="H179" s="133">
        <v>2040</v>
      </c>
      <c r="I179" s="54"/>
      <c r="J179" s="135">
        <f>(Table3[[#This Row],[QTY]]*Table3[[#This Row],[Supplies Cost]])+Table3[[#This Row],[Tax/Fees]]</f>
        <v>2040</v>
      </c>
      <c r="K179" s="136"/>
      <c r="L179" s="137" t="s">
        <v>92</v>
      </c>
      <c r="M179" s="139" t="s">
        <v>34</v>
      </c>
      <c r="N179" s="139"/>
      <c r="O179" s="139">
        <v>21052701</v>
      </c>
      <c r="P179" s="139"/>
      <c r="Q179" s="139" t="s">
        <v>174</v>
      </c>
      <c r="R179" s="139"/>
      <c r="S179" s="139"/>
      <c r="T179" s="138" t="s">
        <v>181</v>
      </c>
      <c r="U179" s="32" t="str">
        <f>LEFT(Table3[[#This Row],[Stage]],FIND(".",Table3[[#This Row],[Stage]],1)-1)</f>
        <v>13</v>
      </c>
      <c r="V179" s="31" t="str">
        <f>VLOOKUP(ABS(Table3[[#This Row],[Type]]),[1]!Table9[#All],2)</f>
        <v>Electrical</v>
      </c>
    </row>
    <row r="180" spans="1:22" x14ac:dyDescent="0.45">
      <c r="A180" s="24">
        <v>44344</v>
      </c>
      <c r="B180" s="129" t="s">
        <v>259</v>
      </c>
      <c r="C180" s="130">
        <v>7.21</v>
      </c>
      <c r="D180" s="131" t="s">
        <v>144</v>
      </c>
      <c r="E180" s="145" t="s">
        <v>69</v>
      </c>
      <c r="F180" s="144"/>
      <c r="G180" s="134">
        <v>1</v>
      </c>
      <c r="H180" s="133">
        <v>1154</v>
      </c>
      <c r="I180" s="54"/>
      <c r="J180" s="135">
        <f>(Table3[[#This Row],[QTY]]*Table3[[#This Row],[Supplies Cost]])+Table3[[#This Row],[Tax/Fees]]</f>
        <v>1154</v>
      </c>
      <c r="K180" s="136">
        <v>3794</v>
      </c>
      <c r="L180" s="137" t="s">
        <v>33</v>
      </c>
      <c r="M180" s="139" t="s">
        <v>34</v>
      </c>
      <c r="N180" s="139"/>
      <c r="O180" s="143">
        <v>21052701</v>
      </c>
      <c r="P180" s="139"/>
      <c r="Q180" s="139" t="s">
        <v>174</v>
      </c>
      <c r="R180" s="139">
        <v>7.2176999999999998</v>
      </c>
      <c r="S180" s="139"/>
      <c r="T180" s="122" t="s">
        <v>197</v>
      </c>
      <c r="U180" s="32" t="str">
        <f>LEFT(Table3[[#This Row],[Stage]],FIND(".",Table3[[#This Row],[Stage]],1)-1)</f>
        <v>7</v>
      </c>
      <c r="V180" s="31" t="str">
        <f>VLOOKUP(ABS(Table3[[#This Row],[Type]]),[1]!Table9[#All],2)</f>
        <v>Carpentry</v>
      </c>
    </row>
    <row r="181" spans="1:22" ht="30.75" x14ac:dyDescent="0.45">
      <c r="A181" s="24">
        <v>44344</v>
      </c>
      <c r="B181" s="129" t="s">
        <v>260</v>
      </c>
      <c r="C181" s="130">
        <v>13.3</v>
      </c>
      <c r="D181" s="131" t="s">
        <v>199</v>
      </c>
      <c r="E181" s="133" t="s">
        <v>69</v>
      </c>
      <c r="F181" s="144"/>
      <c r="G181" s="134">
        <v>1</v>
      </c>
      <c r="H181" s="133">
        <v>600</v>
      </c>
      <c r="I181" s="54"/>
      <c r="J181" s="135">
        <f>(Table3[[#This Row],[QTY]]*Table3[[#This Row],[Supplies Cost]])+Table3[[#This Row],[Tax/Fees]]</f>
        <v>600</v>
      </c>
      <c r="K181" s="136"/>
      <c r="L181" s="137" t="s">
        <v>92</v>
      </c>
      <c r="M181" s="139" t="s">
        <v>34</v>
      </c>
      <c r="N181" s="139"/>
      <c r="O181" s="139">
        <v>21052701</v>
      </c>
      <c r="P181" s="139"/>
      <c r="Q181" s="139" t="s">
        <v>174</v>
      </c>
      <c r="R181" s="139"/>
      <c r="S181" s="139"/>
      <c r="T181" s="138" t="s">
        <v>261</v>
      </c>
      <c r="U181" s="32" t="str">
        <f>LEFT(Table3[[#This Row],[Stage]],FIND(".",Table3[[#This Row],[Stage]],1)-1)</f>
        <v>13</v>
      </c>
      <c r="V181" s="31" t="str">
        <f>VLOOKUP(ABS(Table3[[#This Row],[Type]]),[1]!Table9[#All],2)</f>
        <v>Electrical</v>
      </c>
    </row>
    <row r="182" spans="1:22" x14ac:dyDescent="0.45">
      <c r="A182" s="24">
        <v>44348</v>
      </c>
      <c r="B182" s="129" t="s">
        <v>262</v>
      </c>
      <c r="C182" s="130">
        <v>3.16</v>
      </c>
      <c r="D182" s="131" t="s">
        <v>213</v>
      </c>
      <c r="E182" s="143" t="s">
        <v>116</v>
      </c>
      <c r="F182" s="144"/>
      <c r="G182" s="134">
        <v>12</v>
      </c>
      <c r="H182" s="133">
        <v>7</v>
      </c>
      <c r="I182" s="54"/>
      <c r="J182" s="135">
        <f>(Table3[[#This Row],[QTY]]*Table3[[#This Row],[Supplies Cost]])+Table3[[#This Row],[Tax/Fees]]</f>
        <v>84</v>
      </c>
      <c r="K182" s="136"/>
      <c r="L182" s="33" t="s">
        <v>92</v>
      </c>
      <c r="M182" s="31" t="s">
        <v>77</v>
      </c>
      <c r="N182" s="31"/>
      <c r="O182" s="31">
        <v>8368258</v>
      </c>
      <c r="P182" s="31"/>
      <c r="Q182" s="31" t="s">
        <v>174</v>
      </c>
      <c r="R182" s="31"/>
      <c r="S182" s="31"/>
      <c r="T182" s="31" t="s">
        <v>129</v>
      </c>
      <c r="U182" s="32" t="str">
        <f>LEFT(Table3[[#This Row],[Stage]],FIND(".",Table3[[#This Row],[Stage]],1)-1)</f>
        <v>3</v>
      </c>
      <c r="V182" s="31" t="str">
        <f>VLOOKUP(ABS(Table3[[#This Row],[Type]]),[1]!Table9[#All],2)</f>
        <v>Masonary</v>
      </c>
    </row>
    <row r="183" spans="1:22" x14ac:dyDescent="0.45">
      <c r="A183" s="24">
        <v>44348</v>
      </c>
      <c r="B183" s="129" t="s">
        <v>262</v>
      </c>
      <c r="C183" s="130">
        <v>3.16</v>
      </c>
      <c r="D183" s="131" t="s">
        <v>213</v>
      </c>
      <c r="E183" s="132" t="s">
        <v>116</v>
      </c>
      <c r="F183" s="144"/>
      <c r="G183" s="134">
        <v>12</v>
      </c>
      <c r="H183" s="133">
        <v>14</v>
      </c>
      <c r="I183" s="54"/>
      <c r="J183" s="135">
        <f>(Table3[[#This Row],[QTY]]*Table3[[#This Row],[Supplies Cost]])+Table3[[#This Row],[Tax/Fees]]</f>
        <v>168</v>
      </c>
      <c r="K183" s="136"/>
      <c r="L183" s="33" t="s">
        <v>92</v>
      </c>
      <c r="M183" s="31" t="s">
        <v>77</v>
      </c>
      <c r="N183" s="31"/>
      <c r="O183" s="31">
        <v>8368258</v>
      </c>
      <c r="P183" s="31"/>
      <c r="Q183" s="31" t="s">
        <v>174</v>
      </c>
      <c r="R183" s="31"/>
      <c r="S183" s="31"/>
      <c r="T183" s="40" t="s">
        <v>129</v>
      </c>
      <c r="U183" s="32" t="str">
        <f>LEFT(Table3[[#This Row],[Stage]],FIND(".",Table3[[#This Row],[Stage]],1)-1)</f>
        <v>3</v>
      </c>
      <c r="V183" s="31" t="str">
        <f>VLOOKUP(ABS(Table3[[#This Row],[Type]]),[1]!Table9[#All],2)</f>
        <v>Masonary</v>
      </c>
    </row>
    <row r="184" spans="1:22" x14ac:dyDescent="0.45">
      <c r="A184" s="24">
        <v>44348</v>
      </c>
      <c r="B184" s="129" t="s">
        <v>262</v>
      </c>
      <c r="C184" s="130">
        <v>3.16</v>
      </c>
      <c r="D184" s="131" t="s">
        <v>213</v>
      </c>
      <c r="E184" s="132" t="s">
        <v>116</v>
      </c>
      <c r="F184" s="144"/>
      <c r="G184" s="134">
        <v>6</v>
      </c>
      <c r="H184" s="133">
        <v>28</v>
      </c>
      <c r="I184" s="54"/>
      <c r="J184" s="135">
        <f>(Table3[[#This Row],[QTY]]*Table3[[#This Row],[Supplies Cost]])+Table3[[#This Row],[Tax/Fees]]</f>
        <v>168</v>
      </c>
      <c r="K184" s="136"/>
      <c r="L184" s="33" t="s">
        <v>92</v>
      </c>
      <c r="M184" s="31" t="s">
        <v>77</v>
      </c>
      <c r="N184" s="31"/>
      <c r="O184" s="31">
        <v>8368258</v>
      </c>
      <c r="P184" s="31"/>
      <c r="Q184" s="31" t="s">
        <v>174</v>
      </c>
      <c r="R184" s="31"/>
      <c r="S184" s="31"/>
      <c r="T184" s="40" t="s">
        <v>129</v>
      </c>
      <c r="U184" s="32" t="str">
        <f>LEFT(Table3[[#This Row],[Stage]],FIND(".",Table3[[#This Row],[Stage]],1)-1)</f>
        <v>3</v>
      </c>
      <c r="V184" s="31" t="str">
        <f>VLOOKUP(ABS(Table3[[#This Row],[Type]]),[1]!Table9[#All],2)</f>
        <v>Masonary</v>
      </c>
    </row>
    <row r="185" spans="1:22" x14ac:dyDescent="0.45">
      <c r="A185" s="24">
        <v>44348</v>
      </c>
      <c r="B185" s="129" t="s">
        <v>263</v>
      </c>
      <c r="C185" s="130">
        <v>3.16</v>
      </c>
      <c r="D185" s="131" t="s">
        <v>213</v>
      </c>
      <c r="E185" s="143" t="s">
        <v>116</v>
      </c>
      <c r="F185" s="144"/>
      <c r="G185" s="134">
        <v>1</v>
      </c>
      <c r="H185" s="133">
        <v>60</v>
      </c>
      <c r="I185" s="54"/>
      <c r="J185" s="135">
        <f>(Table3[[#This Row],[QTY]]*Table3[[#This Row],[Supplies Cost]])+Table3[[#This Row],[Tax/Fees]]</f>
        <v>60</v>
      </c>
      <c r="K185" s="136"/>
      <c r="L185" s="33" t="s">
        <v>92</v>
      </c>
      <c r="M185" s="31" t="s">
        <v>77</v>
      </c>
      <c r="N185" s="31"/>
      <c r="O185" s="31">
        <v>8368258</v>
      </c>
      <c r="P185" s="31"/>
      <c r="Q185" s="31" t="s">
        <v>174</v>
      </c>
      <c r="R185" s="31"/>
      <c r="S185" s="31"/>
      <c r="T185" s="31" t="s">
        <v>178</v>
      </c>
      <c r="U185" s="32" t="str">
        <f>LEFT(Table3[[#This Row],[Stage]],FIND(".",Table3[[#This Row],[Stage]],1)-1)</f>
        <v>3</v>
      </c>
      <c r="V185" s="31" t="str">
        <f>VLOOKUP(ABS(Table3[[#This Row],[Type]]),[1]!Table9[#All],2)</f>
        <v>Masonary</v>
      </c>
    </row>
    <row r="186" spans="1:22" x14ac:dyDescent="0.45">
      <c r="A186" s="24">
        <v>44348</v>
      </c>
      <c r="B186" s="129" t="s">
        <v>264</v>
      </c>
      <c r="C186" s="130">
        <v>3.16</v>
      </c>
      <c r="D186" s="142" t="s">
        <v>213</v>
      </c>
      <c r="E186" s="143" t="s">
        <v>116</v>
      </c>
      <c r="F186" s="144"/>
      <c r="G186" s="140">
        <v>1</v>
      </c>
      <c r="H186" s="133">
        <v>84</v>
      </c>
      <c r="I186" s="54"/>
      <c r="J186" s="54">
        <f>(Table3[[#This Row],[QTY]]*Table3[[#This Row],[Supplies Cost]])+Table3[[#This Row],[Tax/Fees]]</f>
        <v>84</v>
      </c>
      <c r="K186" s="146">
        <v>564</v>
      </c>
      <c r="L186" s="33" t="s">
        <v>33</v>
      </c>
      <c r="M186" s="31" t="s">
        <v>47</v>
      </c>
      <c r="N186" s="31"/>
      <c r="O186" s="31">
        <v>8368258</v>
      </c>
      <c r="P186" s="31"/>
      <c r="Q186" s="31" t="s">
        <v>174</v>
      </c>
      <c r="R186" s="31">
        <v>3.1680000000000001</v>
      </c>
      <c r="S186" s="31"/>
      <c r="T186" s="31" t="s">
        <v>178</v>
      </c>
      <c r="U186" s="32" t="str">
        <f>LEFT(Table3[[#This Row],[Stage]],FIND(".",Table3[[#This Row],[Stage]],1)-1)</f>
        <v>3</v>
      </c>
      <c r="V186" s="31" t="str">
        <f>VLOOKUP(ABS(Table3[[#This Row],[Type]]),[1]!Table9[#All],2)</f>
        <v>Masonary</v>
      </c>
    </row>
    <row r="187" spans="1:22" x14ac:dyDescent="0.45">
      <c r="A187" s="24">
        <v>44348</v>
      </c>
      <c r="B187" s="129" t="s">
        <v>265</v>
      </c>
      <c r="C187" s="141">
        <v>3.16</v>
      </c>
      <c r="D187" s="142" t="s">
        <v>213</v>
      </c>
      <c r="E187" s="25" t="s">
        <v>71</v>
      </c>
      <c r="F187" s="144"/>
      <c r="G187" s="134">
        <v>1</v>
      </c>
      <c r="H187" s="133">
        <v>2898.43</v>
      </c>
      <c r="I187" s="54"/>
      <c r="J187" s="135">
        <f>(Table3[[#This Row],[QTY]]*Table3[[#This Row],[Supplies Cost]])+Table3[[#This Row],[Tax/Fees]]</f>
        <v>2898.43</v>
      </c>
      <c r="K187" s="136"/>
      <c r="L187" s="137" t="s">
        <v>92</v>
      </c>
      <c r="M187" s="139" t="s">
        <v>47</v>
      </c>
      <c r="N187" s="139"/>
      <c r="O187" s="139">
        <v>3550260601</v>
      </c>
      <c r="P187" s="139"/>
      <c r="Q187" s="139" t="s">
        <v>174</v>
      </c>
      <c r="R187" s="139"/>
      <c r="S187" s="139"/>
      <c r="T187" s="138" t="s">
        <v>178</v>
      </c>
      <c r="U187" s="32" t="str">
        <f>LEFT(Table3[[#This Row],[Stage]],FIND(".",Table3[[#This Row],[Stage]],1)-1)</f>
        <v>3</v>
      </c>
      <c r="V187" s="31" t="str">
        <f>VLOOKUP(ABS(Table3[[#This Row],[Type]]),[1]!Table9[#All],2)</f>
        <v>Masonary</v>
      </c>
    </row>
    <row r="188" spans="1:22" x14ac:dyDescent="0.45">
      <c r="A188" s="24">
        <v>44348</v>
      </c>
      <c r="B188" s="143" t="s">
        <v>102</v>
      </c>
      <c r="C188" s="141">
        <v>3.16</v>
      </c>
      <c r="D188" s="142" t="s">
        <v>213</v>
      </c>
      <c r="E188" s="25" t="s">
        <v>71</v>
      </c>
      <c r="F188" s="144"/>
      <c r="G188" s="134">
        <v>1</v>
      </c>
      <c r="H188" s="133">
        <v>651.83000000000004</v>
      </c>
      <c r="I188" s="54"/>
      <c r="J188" s="135">
        <f>(Table3[[#This Row],[QTY]]*Table3[[#This Row],[Supplies Cost]])+Table3[[#This Row],[Tax/Fees]]</f>
        <v>651.83000000000004</v>
      </c>
      <c r="K188" s="147">
        <v>3550.26</v>
      </c>
      <c r="L188" s="137" t="s">
        <v>33</v>
      </c>
      <c r="M188" s="139" t="s">
        <v>47</v>
      </c>
      <c r="N188" s="139"/>
      <c r="O188" s="139">
        <v>3550260601</v>
      </c>
      <c r="P188" s="139"/>
      <c r="Q188" s="139" t="s">
        <v>102</v>
      </c>
      <c r="R188" s="139">
        <v>3.1680999999999999</v>
      </c>
      <c r="S188" s="139"/>
      <c r="T188" s="139" t="s">
        <v>178</v>
      </c>
      <c r="U188" s="32" t="str">
        <f>LEFT(Table3[[#This Row],[Stage]],FIND(".",Table3[[#This Row],[Stage]],1)-1)</f>
        <v>3</v>
      </c>
      <c r="V188" s="31" t="str">
        <f>VLOOKUP(ABS(Table3[[#This Row],[Type]]),[1]!Table9[#All],2)</f>
        <v>Masonary</v>
      </c>
    </row>
    <row r="189" spans="1:22" x14ac:dyDescent="0.45">
      <c r="A189" s="24">
        <v>44350</v>
      </c>
      <c r="B189" t="s">
        <v>266</v>
      </c>
      <c r="C189" s="57">
        <v>1.1100000000000001</v>
      </c>
      <c r="D189" s="90" t="s">
        <v>122</v>
      </c>
      <c r="E189" s="25" t="s">
        <v>123</v>
      </c>
      <c r="F189" s="29">
        <v>1</v>
      </c>
      <c r="G189" s="126">
        <v>1</v>
      </c>
      <c r="H189" s="28">
        <v>90000</v>
      </c>
      <c r="I189" s="30">
        <v>-281.25</v>
      </c>
      <c r="J189" s="109">
        <f>(Table3[[#This Row],[QTY]]*Table3[[#This Row],[Supplies Cost]])+Table3[[#This Row],[Tax/Fees]]</f>
        <v>89718.75</v>
      </c>
      <c r="L189" s="33" t="s">
        <v>33</v>
      </c>
      <c r="M189" s="31" t="s">
        <v>124</v>
      </c>
      <c r="N189" s="31"/>
      <c r="O189" s="31"/>
      <c r="P189" s="31"/>
      <c r="Q189" s="31" t="s">
        <v>174</v>
      </c>
      <c r="R189" s="31"/>
      <c r="S189" s="31"/>
      <c r="T189" s="40" t="s">
        <v>125</v>
      </c>
      <c r="U189" s="32" t="str">
        <f>LEFT(Table3[[#This Row],[Stage]],FIND(".",Table3[[#This Row],[Stage]],1)-1)</f>
        <v>1</v>
      </c>
      <c r="V189" s="31" t="str">
        <f>VLOOKUP(ABS(Table3[[#This Row],[Type]]),[1]!Table9[#All],2)</f>
        <v>Transfers</v>
      </c>
    </row>
    <row r="190" spans="1:22" x14ac:dyDescent="0.45">
      <c r="A190" s="24">
        <v>44352</v>
      </c>
      <c r="B190" t="s">
        <v>232</v>
      </c>
      <c r="C190" s="57">
        <v>3.26</v>
      </c>
      <c r="D190" s="90" t="s">
        <v>213</v>
      </c>
      <c r="E190" t="s">
        <v>67</v>
      </c>
      <c r="F190" s="148"/>
      <c r="G190" s="149">
        <v>1</v>
      </c>
      <c r="H190" s="28">
        <v>2000</v>
      </c>
      <c r="I190" s="30"/>
      <c r="J190" s="109">
        <f>(Table3[[#This Row],[QTY]]*Table3[[#This Row],[Supplies Cost]])+Table3[[#This Row],[Tax/Fees]]</f>
        <v>2000</v>
      </c>
      <c r="L190" s="33" t="s">
        <v>33</v>
      </c>
      <c r="M190" s="31" t="s">
        <v>34</v>
      </c>
      <c r="N190" s="31" t="s">
        <v>267</v>
      </c>
      <c r="O190" s="31" t="s">
        <v>268</v>
      </c>
      <c r="P190" s="31"/>
      <c r="Q190" s="31" t="s">
        <v>157</v>
      </c>
      <c r="R190" s="31">
        <v>3.2684000000000002</v>
      </c>
      <c r="S190" s="31"/>
      <c r="T190" s="40" t="s">
        <v>269</v>
      </c>
      <c r="U190" s="32" t="str">
        <f>LEFT(Table3[[#This Row],[Stage]],FIND(".",Table3[[#This Row],[Stage]],1)-1)</f>
        <v>3</v>
      </c>
      <c r="V190" s="31" t="str">
        <f>VLOOKUP(ABS(Table3[[#This Row],[Type]]),[1]!Table9[#All],2)</f>
        <v>Masonary</v>
      </c>
    </row>
    <row r="191" spans="1:22" x14ac:dyDescent="0.45">
      <c r="A191" s="24">
        <v>44352</v>
      </c>
      <c r="B191" t="s">
        <v>232</v>
      </c>
      <c r="C191" s="57">
        <v>3.26</v>
      </c>
      <c r="D191" s="90" t="s">
        <v>213</v>
      </c>
      <c r="E191" s="25" t="s">
        <v>67</v>
      </c>
      <c r="F191" s="148"/>
      <c r="G191" s="149">
        <v>1</v>
      </c>
      <c r="H191" s="28">
        <v>6500</v>
      </c>
      <c r="I191" s="30"/>
      <c r="J191" s="109">
        <f>(Table3[[#This Row],[QTY]]*Table3[[#This Row],[Supplies Cost]])+Table3[[#This Row],[Tax/Fees]]</f>
        <v>6500</v>
      </c>
      <c r="L191" s="33" t="s">
        <v>33</v>
      </c>
      <c r="M191" s="31" t="s">
        <v>34</v>
      </c>
      <c r="N191" s="31" t="s">
        <v>267</v>
      </c>
      <c r="O191" s="31" t="s">
        <v>268</v>
      </c>
      <c r="P191" s="31"/>
      <c r="Q191" s="31" t="s">
        <v>157</v>
      </c>
      <c r="R191" s="31">
        <v>3.2684000000000002</v>
      </c>
      <c r="S191" s="31"/>
      <c r="T191" s="40" t="s">
        <v>188</v>
      </c>
      <c r="U191" s="32" t="str">
        <f>LEFT(Table3[[#This Row],[Stage]],FIND(".",Table3[[#This Row],[Stage]],1)-1)</f>
        <v>3</v>
      </c>
      <c r="V191" s="31" t="str">
        <f>VLOOKUP(ABS(Table3[[#This Row],[Type]]),[1]!Table9[#All],2)</f>
        <v>Masonary</v>
      </c>
    </row>
    <row r="192" spans="1:22" x14ac:dyDescent="0.45">
      <c r="A192" s="24">
        <v>44352</v>
      </c>
      <c r="B192" t="s">
        <v>232</v>
      </c>
      <c r="C192" s="57">
        <v>3.26</v>
      </c>
      <c r="D192" s="90" t="s">
        <v>213</v>
      </c>
      <c r="E192" s="56" t="s">
        <v>67</v>
      </c>
      <c r="F192" s="148"/>
      <c r="G192" s="149">
        <v>1</v>
      </c>
      <c r="H192" s="28">
        <v>1500</v>
      </c>
      <c r="I192" s="30"/>
      <c r="J192" s="109">
        <f>(Table3[[#This Row],[QTY]]*Table3[[#This Row],[Supplies Cost]])+Table3[[#This Row],[Tax/Fees]]</f>
        <v>1500</v>
      </c>
      <c r="K192" s="4">
        <v>10000</v>
      </c>
      <c r="L192" s="33" t="s">
        <v>33</v>
      </c>
      <c r="M192" s="31" t="s">
        <v>34</v>
      </c>
      <c r="N192" s="31" t="s">
        <v>267</v>
      </c>
      <c r="O192" s="31" t="s">
        <v>268</v>
      </c>
      <c r="P192" s="31"/>
      <c r="Q192" s="31" t="s">
        <v>157</v>
      </c>
      <c r="R192" s="31">
        <v>3.2684000000000002</v>
      </c>
      <c r="S192" s="31"/>
      <c r="T192" s="40" t="s">
        <v>98</v>
      </c>
      <c r="U192" s="32" t="str">
        <f>LEFT(Table3[[#This Row],[Stage]],FIND(".",Table3[[#This Row],[Stage]],1)-1)</f>
        <v>3</v>
      </c>
      <c r="V192" s="31" t="str">
        <f>VLOOKUP(ABS(Table3[[#This Row],[Type]]),[1]!Table9[#All],2)</f>
        <v>Masonary</v>
      </c>
    </row>
    <row r="193" spans="1:22" x14ac:dyDescent="0.45">
      <c r="A193" s="24">
        <v>44352</v>
      </c>
      <c r="B193" s="129" t="s">
        <v>270</v>
      </c>
      <c r="C193" s="130">
        <v>3.16</v>
      </c>
      <c r="D193" s="131" t="s">
        <v>213</v>
      </c>
      <c r="E193" s="56" t="s">
        <v>71</v>
      </c>
      <c r="F193" s="144"/>
      <c r="G193" s="134">
        <v>1</v>
      </c>
      <c r="H193" s="133">
        <v>122.52</v>
      </c>
      <c r="I193" s="54"/>
      <c r="J193" s="135">
        <f>(Table3[[#This Row],[QTY]]*Table3[[#This Row],[Supplies Cost]])+Table3[[#This Row],[Tax/Fees]]</f>
        <v>122.52</v>
      </c>
      <c r="K193" s="136"/>
      <c r="L193" s="137" t="s">
        <v>33</v>
      </c>
      <c r="M193" s="139" t="s">
        <v>47</v>
      </c>
      <c r="N193" s="139" t="s">
        <v>267</v>
      </c>
      <c r="O193" s="139"/>
      <c r="P193" s="139"/>
      <c r="Q193" s="139" t="s">
        <v>157</v>
      </c>
      <c r="R193" s="139">
        <v>3.1683500000000002</v>
      </c>
      <c r="S193" s="139"/>
      <c r="T193" s="138" t="s">
        <v>178</v>
      </c>
      <c r="U193" s="32" t="str">
        <f>LEFT(Table3[[#This Row],[Stage]],FIND(".",Table3[[#This Row],[Stage]],1)-1)</f>
        <v>3</v>
      </c>
      <c r="V193" s="31" t="str">
        <f>VLOOKUP(ABS(Table3[[#This Row],[Type]]),[1]!Table9[#All],2)</f>
        <v>Masonary</v>
      </c>
    </row>
    <row r="194" spans="1:22" x14ac:dyDescent="0.45">
      <c r="A194" s="24">
        <v>44354</v>
      </c>
      <c r="B194" s="129" t="s">
        <v>271</v>
      </c>
      <c r="C194" s="130">
        <v>5.44</v>
      </c>
      <c r="D194" s="131" t="s">
        <v>45</v>
      </c>
      <c r="E194" s="132" t="s">
        <v>76</v>
      </c>
      <c r="F194" s="144"/>
      <c r="G194" s="134">
        <v>1</v>
      </c>
      <c r="H194" s="133">
        <v>600</v>
      </c>
      <c r="I194" s="54"/>
      <c r="J194" s="135">
        <f>(Table3[[#This Row],[QTY]]*Table3[[#This Row],[Supplies Cost]])+Table3[[#This Row],[Tax/Fees]]</f>
        <v>600</v>
      </c>
      <c r="K194" s="136"/>
      <c r="L194" s="137" t="s">
        <v>33</v>
      </c>
      <c r="M194" s="31" t="s">
        <v>77</v>
      </c>
      <c r="N194" s="139" t="s">
        <v>52</v>
      </c>
      <c r="O194" s="139"/>
      <c r="P194" s="139"/>
      <c r="Q194" s="139" t="s">
        <v>174</v>
      </c>
      <c r="R194" s="139">
        <v>5.4482499999999998</v>
      </c>
      <c r="S194" s="139"/>
      <c r="T194" s="40" t="s">
        <v>79</v>
      </c>
      <c r="U194" s="32" t="str">
        <f>LEFT(Table3[[#This Row],[Stage]],FIND(".",Table3[[#This Row],[Stage]],1)-1)</f>
        <v>5</v>
      </c>
      <c r="V194" s="31" t="str">
        <f>VLOOKUP(ABS(Table3[[#This Row],[Type]]),[1]!Table9[#All],2)</f>
        <v>Earthworks</v>
      </c>
    </row>
    <row r="195" spans="1:22" x14ac:dyDescent="0.45">
      <c r="A195" s="24">
        <v>44354</v>
      </c>
      <c r="B195" s="129" t="s">
        <v>272</v>
      </c>
      <c r="C195" s="130">
        <v>3.21</v>
      </c>
      <c r="D195" s="131" t="s">
        <v>273</v>
      </c>
      <c r="E195" s="143" t="s">
        <v>82</v>
      </c>
      <c r="F195" s="144"/>
      <c r="G195" s="134">
        <v>1</v>
      </c>
      <c r="H195" s="133">
        <v>3875.49</v>
      </c>
      <c r="I195" s="54"/>
      <c r="J195" s="135">
        <f>(Table3[[#This Row],[QTY]]*Table3[[#This Row],[Supplies Cost]])+Table3[[#This Row],[Tax/Fees]]</f>
        <v>3875.49</v>
      </c>
      <c r="K195" s="136"/>
      <c r="L195" s="137" t="s">
        <v>33</v>
      </c>
      <c r="M195" s="139" t="s">
        <v>47</v>
      </c>
      <c r="N195" s="139"/>
      <c r="O195" s="139"/>
      <c r="P195" s="139"/>
      <c r="Q195" s="139" t="s">
        <v>174</v>
      </c>
      <c r="R195" s="139">
        <v>3.2188500000000002</v>
      </c>
      <c r="S195" s="139"/>
      <c r="T195" s="139" t="s">
        <v>274</v>
      </c>
      <c r="U195" s="32" t="str">
        <f>LEFT(Table3[[#This Row],[Stage]],FIND(".",Table3[[#This Row],[Stage]],1)-1)</f>
        <v>3</v>
      </c>
      <c r="V195" s="31" t="str">
        <f>VLOOKUP(ABS(Table3[[#This Row],[Type]]),[1]!Table9[#All],2)</f>
        <v>Masonary</v>
      </c>
    </row>
    <row r="196" spans="1:22" x14ac:dyDescent="0.45">
      <c r="A196" s="24">
        <v>44354</v>
      </c>
      <c r="B196" t="s">
        <v>275</v>
      </c>
      <c r="C196" s="57">
        <v>7.3</v>
      </c>
      <c r="D196" s="90" t="s">
        <v>213</v>
      </c>
      <c r="E196" s="25" t="s">
        <v>116</v>
      </c>
      <c r="F196" s="125"/>
      <c r="G196" s="126">
        <v>1</v>
      </c>
      <c r="H196" s="28">
        <v>1037.4000000000001</v>
      </c>
      <c r="I196" s="30"/>
      <c r="J196" s="109">
        <f>(Table3[[#This Row],[QTY]]*Table3[[#This Row],[Supplies Cost]])+Table3[[#This Row],[Tax/Fees]]</f>
        <v>1037.4000000000001</v>
      </c>
      <c r="L196" s="33" t="s">
        <v>33</v>
      </c>
      <c r="M196" s="40" t="s">
        <v>77</v>
      </c>
      <c r="N196" s="31"/>
      <c r="O196" s="31"/>
      <c r="P196" s="31"/>
      <c r="Q196" s="31" t="s">
        <v>174</v>
      </c>
      <c r="R196" s="31">
        <v>7.383</v>
      </c>
      <c r="S196" s="31"/>
      <c r="T196" s="40" t="s">
        <v>188</v>
      </c>
      <c r="U196" s="32" t="str">
        <f>LEFT(Table3[[#This Row],[Stage]],FIND(".",Table3[[#This Row],[Stage]],1)-1)</f>
        <v>7</v>
      </c>
      <c r="V196" s="31" t="str">
        <f>VLOOKUP(ABS(Table3[[#This Row],[Type]]),[1]!Table9[#All],2)</f>
        <v>Carpentry</v>
      </c>
    </row>
    <row r="197" spans="1:22" x14ac:dyDescent="0.45">
      <c r="A197" s="24">
        <v>44354</v>
      </c>
      <c r="B197" s="129" t="s">
        <v>270</v>
      </c>
      <c r="C197" s="130">
        <v>3.16</v>
      </c>
      <c r="D197" s="131" t="s">
        <v>213</v>
      </c>
      <c r="E197" s="56" t="s">
        <v>67</v>
      </c>
      <c r="F197" s="144"/>
      <c r="G197" s="140">
        <v>1</v>
      </c>
      <c r="H197" s="133">
        <v>2219.5</v>
      </c>
      <c r="I197" s="54"/>
      <c r="J197" s="135">
        <f>(Table3[[#This Row],[QTY]]*Table3[[#This Row],[Supplies Cost]])+Table3[[#This Row],[Tax/Fees]]</f>
        <v>2219.5</v>
      </c>
      <c r="K197" s="31"/>
      <c r="L197" s="33" t="s">
        <v>33</v>
      </c>
      <c r="M197" s="31" t="s">
        <v>47</v>
      </c>
      <c r="N197" s="31" t="s">
        <v>267</v>
      </c>
      <c r="O197" s="31"/>
      <c r="P197" s="31"/>
      <c r="Q197" s="31" t="s">
        <v>157</v>
      </c>
      <c r="R197" s="31">
        <v>3.16865</v>
      </c>
      <c r="S197" s="31"/>
      <c r="T197" s="31" t="s">
        <v>178</v>
      </c>
      <c r="U197" s="32" t="str">
        <f>LEFT(Table3[[#This Row],[Stage]],FIND(".",Table3[[#This Row],[Stage]],1)-1)</f>
        <v>3</v>
      </c>
      <c r="V197" s="31" t="str">
        <f>VLOOKUP(ABS(Table3[[#This Row],[Type]]),[1]!Table9[#All],2)</f>
        <v>Masonary</v>
      </c>
    </row>
    <row r="198" spans="1:22" x14ac:dyDescent="0.45">
      <c r="A198" s="24">
        <v>44354</v>
      </c>
      <c r="B198" s="129" t="s">
        <v>276</v>
      </c>
      <c r="C198" s="130">
        <v>10.34</v>
      </c>
      <c r="D198" s="138" t="s">
        <v>213</v>
      </c>
      <c r="E198" s="145" t="s">
        <v>69</v>
      </c>
      <c r="F198" s="133"/>
      <c r="G198" s="134">
        <v>1</v>
      </c>
      <c r="H198" s="133">
        <v>445.14</v>
      </c>
      <c r="I198" s="133"/>
      <c r="J198" s="135">
        <f>(Table3[[#This Row],[QTY]]*Table3[[#This Row],[Supplies Cost]])+Table3[[#This Row],[Tax/Fees]]</f>
        <v>445.14</v>
      </c>
      <c r="K198" s="31"/>
      <c r="L198" s="33" t="s">
        <v>33</v>
      </c>
      <c r="M198" s="40" t="s">
        <v>47</v>
      </c>
      <c r="N198" s="31" t="s">
        <v>65</v>
      </c>
      <c r="O198" s="31"/>
      <c r="P198" s="31"/>
      <c r="Q198" s="31" t="s">
        <v>157</v>
      </c>
      <c r="R198" s="31">
        <v>10.348699999999999</v>
      </c>
      <c r="S198" s="40"/>
      <c r="T198" s="40" t="s">
        <v>50</v>
      </c>
      <c r="U198" s="32" t="str">
        <f>LEFT(Table3[[#This Row],[Stage]],FIND(".",Table3[[#This Row],[Stage]],1)-1)</f>
        <v>10</v>
      </c>
      <c r="V198" s="31" t="str">
        <f>VLOOKUP(ABS(Table3[[#This Row],[Type]]),[1]!Table9[#All],2)</f>
        <v>Plumbing</v>
      </c>
    </row>
    <row r="199" spans="1:22" x14ac:dyDescent="0.45">
      <c r="A199" s="24">
        <v>44354</v>
      </c>
      <c r="B199" s="150" t="s">
        <v>277</v>
      </c>
      <c r="C199" s="130">
        <v>3.16</v>
      </c>
      <c r="D199" s="131" t="s">
        <v>213</v>
      </c>
      <c r="E199" s="56" t="s">
        <v>67</v>
      </c>
      <c r="F199" s="144"/>
      <c r="G199" s="140">
        <v>1</v>
      </c>
      <c r="H199" s="133">
        <v>288.48</v>
      </c>
      <c r="I199" s="54"/>
      <c r="J199" s="135">
        <f>(Table3[[#This Row],[QTY]]*Table3[[#This Row],[Supplies Cost]])+Table3[[#This Row],[Tax/Fees]]</f>
        <v>288.48</v>
      </c>
      <c r="K199" s="139"/>
      <c r="L199" s="137" t="s">
        <v>33</v>
      </c>
      <c r="M199" s="139" t="s">
        <v>47</v>
      </c>
      <c r="N199" s="139"/>
      <c r="O199" s="139"/>
      <c r="P199" s="139"/>
      <c r="Q199" s="139" t="s">
        <v>174</v>
      </c>
      <c r="R199" s="139">
        <v>3.1688999999999998</v>
      </c>
      <c r="S199" s="139"/>
      <c r="T199" s="139" t="s">
        <v>178</v>
      </c>
      <c r="U199" s="32" t="str">
        <f>LEFT(Table3[[#This Row],[Stage]],FIND(".",Table3[[#This Row],[Stage]],1)-1)</f>
        <v>3</v>
      </c>
      <c r="V199" s="31" t="str">
        <f>VLOOKUP(ABS(Table3[[#This Row],[Type]]),[1]!Table9[#All],2)</f>
        <v>Masonary</v>
      </c>
    </row>
    <row r="200" spans="1:22" x14ac:dyDescent="0.45">
      <c r="A200" s="24">
        <v>44356</v>
      </c>
      <c r="B200" s="129" t="s">
        <v>278</v>
      </c>
      <c r="C200" s="130">
        <v>7.5</v>
      </c>
      <c r="D200" s="131" t="s">
        <v>279</v>
      </c>
      <c r="E200" s="56" t="s">
        <v>71</v>
      </c>
      <c r="F200" s="144"/>
      <c r="G200" s="134">
        <v>1</v>
      </c>
      <c r="H200" s="133">
        <v>15401.42</v>
      </c>
      <c r="I200" s="54"/>
      <c r="J200" s="135">
        <f>(Table3[[#This Row],[QTY]]*Table3[[#This Row],[Supplies Cost]])+Table3[[#This Row],[Tax/Fees]]</f>
        <v>15401.42</v>
      </c>
      <c r="K200" s="31"/>
      <c r="L200" s="33" t="s">
        <v>33</v>
      </c>
      <c r="M200" s="31" t="s">
        <v>47</v>
      </c>
      <c r="N200" s="31"/>
      <c r="O200" s="31"/>
      <c r="P200" s="31"/>
      <c r="Q200" s="31" t="s">
        <v>174</v>
      </c>
      <c r="R200" s="31">
        <v>7.5880000000000001</v>
      </c>
      <c r="S200" s="31"/>
      <c r="T200" s="31" t="s">
        <v>280</v>
      </c>
      <c r="U200" s="32" t="str">
        <f>LEFT(Table3[[#This Row],[Stage]],FIND(".",Table3[[#This Row],[Stage]],1)-1)</f>
        <v>7</v>
      </c>
      <c r="V200" s="31" t="str">
        <f>VLOOKUP(ABS(Table3[[#This Row],[Type]]),[1]!Table9[#All],2)</f>
        <v>Carpentry</v>
      </c>
    </row>
    <row r="201" spans="1:22" x14ac:dyDescent="0.45">
      <c r="A201" s="24">
        <v>44358</v>
      </c>
      <c r="B201" s="129" t="s">
        <v>126</v>
      </c>
      <c r="C201" s="141">
        <v>8.0399999999999991</v>
      </c>
      <c r="D201" s="131" t="s">
        <v>45</v>
      </c>
      <c r="E201" s="132" t="s">
        <v>127</v>
      </c>
      <c r="F201" s="151"/>
      <c r="G201" s="134">
        <v>1</v>
      </c>
      <c r="H201" s="133">
        <v>305.5</v>
      </c>
      <c r="I201" s="54"/>
      <c r="J201" s="135">
        <f>(Table3[[#This Row],[QTY]]*Table3[[#This Row],[Supplies Cost]])+Table3[[#This Row],[Tax/Fees]]</f>
        <v>305.5</v>
      </c>
      <c r="K201" s="31"/>
      <c r="L201" s="33" t="s">
        <v>33</v>
      </c>
      <c r="M201" s="40" t="s">
        <v>77</v>
      </c>
      <c r="N201" s="31"/>
      <c r="O201" s="31"/>
      <c r="P201" s="31"/>
      <c r="Q201" s="31" t="s">
        <v>174</v>
      </c>
      <c r="R201" s="31">
        <v>8.0488</v>
      </c>
      <c r="S201" s="31"/>
      <c r="T201" s="31" t="s">
        <v>129</v>
      </c>
      <c r="U201" s="32" t="str">
        <f>LEFT(Table3[[#This Row],[Stage]],FIND(".",Table3[[#This Row],[Stage]],1)-1)</f>
        <v>8</v>
      </c>
      <c r="V201" s="31" t="str">
        <f>VLOOKUP(ABS(Table3[[#This Row],[Type]]),[1]!Table9[#All],2)</f>
        <v>Administrative</v>
      </c>
    </row>
    <row r="202" spans="1:22" x14ac:dyDescent="0.45">
      <c r="A202" s="24">
        <v>44358</v>
      </c>
      <c r="B202" s="129" t="s">
        <v>281</v>
      </c>
      <c r="C202" s="141">
        <v>3.11</v>
      </c>
      <c r="D202" s="142" t="s">
        <v>213</v>
      </c>
      <c r="E202" s="132" t="s">
        <v>108</v>
      </c>
      <c r="F202" s="144"/>
      <c r="G202" s="134">
        <v>3</v>
      </c>
      <c r="H202" s="133">
        <v>911.8</v>
      </c>
      <c r="I202" s="54"/>
      <c r="J202" s="135">
        <f>(Table3[[#This Row],[QTY]]*Table3[[#This Row],[Supplies Cost]])+Table3[[#This Row],[Tax/Fees]]</f>
        <v>2735.3999999999996</v>
      </c>
      <c r="K202" s="31"/>
      <c r="L202" s="33" t="s">
        <v>33</v>
      </c>
      <c r="M202" s="31" t="s">
        <v>47</v>
      </c>
      <c r="N202" s="31"/>
      <c r="O202" s="31"/>
      <c r="P202" s="31"/>
      <c r="Q202" s="31" t="s">
        <v>174</v>
      </c>
      <c r="R202" s="31">
        <v>3.1187499999999999</v>
      </c>
      <c r="S202" s="31"/>
      <c r="T202" s="31" t="s">
        <v>178</v>
      </c>
      <c r="U202" s="32" t="str">
        <f>LEFT(Table3[[#This Row],[Stage]],FIND(".",Table3[[#This Row],[Stage]],1)-1)</f>
        <v>3</v>
      </c>
      <c r="V202" s="31" t="str">
        <f>VLOOKUP(ABS(Table3[[#This Row],[Type]]),[1]!Table9[#All],2)</f>
        <v>Masonary</v>
      </c>
    </row>
    <row r="203" spans="1:22" x14ac:dyDescent="0.45">
      <c r="A203" s="24">
        <v>44362</v>
      </c>
      <c r="B203" t="s">
        <v>282</v>
      </c>
      <c r="C203" s="34">
        <v>7.5</v>
      </c>
      <c r="D203" s="27" t="s">
        <v>279</v>
      </c>
      <c r="E203" s="56" t="s">
        <v>283</v>
      </c>
      <c r="F203" s="29"/>
      <c r="G203" s="29">
        <v>1</v>
      </c>
      <c r="H203" s="28">
        <v>2155.6999999999998</v>
      </c>
      <c r="I203" s="30"/>
      <c r="J203" s="109">
        <f>(Table3[[#This Row],[QTY]]*Table3[[#This Row],[Supplies Cost]])+Table3[[#This Row],[Tax/Fees]]</f>
        <v>2155.6999999999998</v>
      </c>
      <c r="K203" s="31"/>
      <c r="L203" s="33" t="s">
        <v>33</v>
      </c>
      <c r="M203" s="40" t="s">
        <v>47</v>
      </c>
      <c r="N203" s="31"/>
      <c r="O203" s="31"/>
      <c r="P203" s="31"/>
      <c r="Q203" s="31" t="s">
        <v>157</v>
      </c>
      <c r="R203" s="31">
        <v>7.5904999999999996</v>
      </c>
      <c r="S203" s="31"/>
      <c r="T203" s="31" t="s">
        <v>280</v>
      </c>
      <c r="U203" s="32" t="str">
        <f>LEFT(Table3[[#This Row],[Stage]],FIND(".",Table3[[#This Row],[Stage]],1)-1)</f>
        <v>7</v>
      </c>
      <c r="V203" s="31" t="str">
        <f>VLOOKUP(ABS(Table3[[#This Row],[Type]]),[1]!Table9[#All],2)</f>
        <v>Carpentry</v>
      </c>
    </row>
    <row r="204" spans="1:22" x14ac:dyDescent="0.45">
      <c r="A204" s="24">
        <v>44362</v>
      </c>
      <c r="B204" t="s">
        <v>284</v>
      </c>
      <c r="C204" s="34">
        <v>7.5</v>
      </c>
      <c r="D204" s="152" t="s">
        <v>279</v>
      </c>
      <c r="E204" s="56" t="s">
        <v>71</v>
      </c>
      <c r="F204" s="125"/>
      <c r="G204" s="126">
        <v>1</v>
      </c>
      <c r="H204" s="28">
        <v>2512.81</v>
      </c>
      <c r="I204" s="30"/>
      <c r="J204" s="109">
        <f>(Table3[[#This Row],[QTY]]*Table3[[#This Row],[Supplies Cost]])+Table3[[#This Row],[Tax/Fees]]</f>
        <v>2512.81</v>
      </c>
      <c r="K204" s="31"/>
      <c r="L204" s="33" t="s">
        <v>33</v>
      </c>
      <c r="M204" s="40" t="s">
        <v>47</v>
      </c>
      <c r="N204" s="31"/>
      <c r="O204" s="31"/>
      <c r="P204" s="31"/>
      <c r="Q204" s="31" t="s">
        <v>157</v>
      </c>
      <c r="R204" s="31">
        <v>7.5895000000000001</v>
      </c>
      <c r="S204" s="31"/>
      <c r="T204" s="31" t="s">
        <v>280</v>
      </c>
      <c r="U204" s="32" t="str">
        <f>LEFT(Table3[[#This Row],[Stage]],FIND(".",Table3[[#This Row],[Stage]],1)-1)</f>
        <v>7</v>
      </c>
      <c r="V204" s="31" t="str">
        <f>VLOOKUP(ABS(Table3[[#This Row],[Type]]),[1]!Table9[#All],2)</f>
        <v>Carpentry</v>
      </c>
    </row>
    <row r="205" spans="1:22" x14ac:dyDescent="0.45">
      <c r="A205" s="24">
        <v>44362</v>
      </c>
      <c r="B205" t="s">
        <v>285</v>
      </c>
      <c r="C205" s="34">
        <v>7.3</v>
      </c>
      <c r="D205" s="90" t="s">
        <v>213</v>
      </c>
      <c r="E205" s="56" t="s">
        <v>219</v>
      </c>
      <c r="F205" s="126"/>
      <c r="G205" s="126">
        <v>1</v>
      </c>
      <c r="H205" s="28">
        <v>809.29</v>
      </c>
      <c r="I205" s="109"/>
      <c r="J205" s="109">
        <f>(Table3[[#This Row],[QTY]]*Table3[[#This Row],[Supplies Cost]])+Table3[[#This Row],[Tax/Fees]]</f>
        <v>809.29</v>
      </c>
      <c r="K205" s="31"/>
      <c r="L205" s="33" t="s">
        <v>33</v>
      </c>
      <c r="M205" s="31" t="s">
        <v>47</v>
      </c>
      <c r="N205" s="31"/>
      <c r="O205" s="1"/>
      <c r="P205" s="31"/>
      <c r="Q205" s="31" t="s">
        <v>157</v>
      </c>
      <c r="R205" s="31">
        <v>7.3914999999999997</v>
      </c>
      <c r="S205" s="31"/>
      <c r="T205" s="31" t="s">
        <v>274</v>
      </c>
      <c r="U205" s="32" t="str">
        <f>LEFT(Table3[[#This Row],[Stage]],FIND(".",Table3[[#This Row],[Stage]],1)-1)</f>
        <v>7</v>
      </c>
      <c r="V205" s="31" t="str">
        <f>VLOOKUP(ABS(Table3[[#This Row],[Type]]),[1]!Table9[#All],2)</f>
        <v>Carpentry</v>
      </c>
    </row>
    <row r="206" spans="1:22" x14ac:dyDescent="0.45">
      <c r="A206" s="24">
        <v>44362</v>
      </c>
      <c r="B206" t="s">
        <v>286</v>
      </c>
      <c r="C206" s="34">
        <v>3.1</v>
      </c>
      <c r="D206" s="90" t="s">
        <v>213</v>
      </c>
      <c r="E206" s="56" t="s">
        <v>239</v>
      </c>
      <c r="F206" s="125"/>
      <c r="G206" s="126">
        <v>1</v>
      </c>
      <c r="H206" s="28">
        <v>700</v>
      </c>
      <c r="I206" s="30"/>
      <c r="J206" s="109">
        <f>(Table3[[#This Row],[QTY]]*Table3[[#This Row],[Supplies Cost]])+Table3[[#This Row],[Tax/Fees]]</f>
        <v>700</v>
      </c>
      <c r="K206" s="31"/>
      <c r="L206" s="33" t="s">
        <v>33</v>
      </c>
      <c r="M206" s="31" t="s">
        <v>47</v>
      </c>
      <c r="N206" s="31"/>
      <c r="O206" s="1"/>
      <c r="P206" s="31"/>
      <c r="Q206" s="31" t="s">
        <v>157</v>
      </c>
      <c r="R206" s="31">
        <v>3.1909999999999998</v>
      </c>
      <c r="S206" s="31"/>
      <c r="T206" s="31" t="s">
        <v>178</v>
      </c>
      <c r="U206" s="32" t="str">
        <f>LEFT(Table3[[#This Row],[Stage]],FIND(".",Table3[[#This Row],[Stage]],1)-1)</f>
        <v>3</v>
      </c>
      <c r="V206" s="31" t="str">
        <f>VLOOKUP(ABS(Table3[[#This Row],[Type]]),[1]!Table9[#All],2)</f>
        <v>Masonary</v>
      </c>
    </row>
    <row r="207" spans="1:22" x14ac:dyDescent="0.45">
      <c r="A207" s="24">
        <v>44362</v>
      </c>
      <c r="B207" t="s">
        <v>287</v>
      </c>
      <c r="C207" s="34">
        <v>10.34</v>
      </c>
      <c r="D207" s="90" t="s">
        <v>213</v>
      </c>
      <c r="E207" s="56" t="s">
        <v>71</v>
      </c>
      <c r="F207" s="125"/>
      <c r="G207" s="29">
        <v>1</v>
      </c>
      <c r="H207" s="28">
        <v>72.709999999999994</v>
      </c>
      <c r="I207" s="30"/>
      <c r="J207" s="109">
        <f>(Table3[[#This Row],[QTY]]*Table3[[#This Row],[Supplies Cost]])+Table3[[#This Row],[Tax/Fees]]</f>
        <v>72.709999999999994</v>
      </c>
      <c r="K207" s="31"/>
      <c r="L207" s="33" t="s">
        <v>33</v>
      </c>
      <c r="M207" s="31" t="s">
        <v>47</v>
      </c>
      <c r="N207" s="31"/>
      <c r="O207" s="31"/>
      <c r="P207" s="31"/>
      <c r="Q207" s="31" t="s">
        <v>157</v>
      </c>
      <c r="R207" s="31">
        <v>10.349</v>
      </c>
      <c r="S207" s="31"/>
      <c r="T207" s="31" t="s">
        <v>178</v>
      </c>
      <c r="U207" s="32" t="str">
        <f>LEFT(Table3[[#This Row],[Stage]],FIND(".",Table3[[#This Row],[Stage]],1)-1)</f>
        <v>10</v>
      </c>
      <c r="V207" s="31" t="str">
        <f>VLOOKUP(ABS(Table3[[#This Row],[Type]]),[1]!Table9[#All],2)</f>
        <v>Plumbing</v>
      </c>
    </row>
    <row r="208" spans="1:22" x14ac:dyDescent="0.45">
      <c r="A208" s="24">
        <v>44363</v>
      </c>
      <c r="B208" s="25" t="s">
        <v>288</v>
      </c>
      <c r="C208" s="34">
        <v>8.0399999999999991</v>
      </c>
      <c r="D208" s="27" t="s">
        <v>144</v>
      </c>
      <c r="E208" s="25" t="s">
        <v>104</v>
      </c>
      <c r="F208" s="125"/>
      <c r="G208" s="126">
        <v>1</v>
      </c>
      <c r="H208" s="28">
        <v>17.93</v>
      </c>
      <c r="I208" s="30"/>
      <c r="J208" s="109">
        <f>(Table3[[#This Row],[QTY]]*Table3[[#This Row],[Supplies Cost]])+Table3[[#This Row],[Tax/Fees]]</f>
        <v>17.93</v>
      </c>
      <c r="K208" s="31"/>
      <c r="L208" s="33" t="s">
        <v>33</v>
      </c>
      <c r="M208" s="31" t="s">
        <v>77</v>
      </c>
      <c r="N208" s="31"/>
      <c r="O208" s="31"/>
      <c r="P208" s="31"/>
      <c r="Q208" s="31" t="s">
        <v>157</v>
      </c>
      <c r="R208" s="31">
        <v>8.0492000000000008</v>
      </c>
      <c r="S208" s="31"/>
      <c r="T208" s="40" t="s">
        <v>60</v>
      </c>
      <c r="U208" s="32" t="str">
        <f>LEFT(Table3[[#This Row],[Stage]],FIND(".",Table3[[#This Row],[Stage]],1)-1)</f>
        <v>8</v>
      </c>
      <c r="V208" s="31" t="str">
        <f>VLOOKUP(ABS(Table3[[#This Row],[Type]]),[1]!Table9[#All],2)</f>
        <v>Administrative</v>
      </c>
    </row>
    <row r="209" spans="1:22" x14ac:dyDescent="0.45">
      <c r="A209" s="24">
        <v>44366</v>
      </c>
      <c r="B209" s="25" t="s">
        <v>289</v>
      </c>
      <c r="C209" s="34">
        <v>7.36</v>
      </c>
      <c r="D209" s="31" t="s">
        <v>177</v>
      </c>
      <c r="E209" s="25" t="s">
        <v>71</v>
      </c>
      <c r="F209" s="125"/>
      <c r="G209" s="29">
        <v>1</v>
      </c>
      <c r="H209" s="28">
        <v>18.84</v>
      </c>
      <c r="I209" s="30"/>
      <c r="J209" s="109">
        <f>(Table3[[#This Row],[QTY]]*Table3[[#This Row],[Supplies Cost]])+Table3[[#This Row],[Tax/Fees]]</f>
        <v>18.84</v>
      </c>
      <c r="K209" s="31"/>
      <c r="L209" s="33" t="s">
        <v>33</v>
      </c>
      <c r="M209" s="31" t="s">
        <v>47</v>
      </c>
      <c r="N209" s="31"/>
      <c r="O209" s="31"/>
      <c r="P209" s="31"/>
      <c r="Q209" s="31" t="s">
        <v>174</v>
      </c>
      <c r="R209" s="31">
        <v>7.3611000000000004</v>
      </c>
      <c r="S209" s="31"/>
      <c r="T209" s="40" t="s">
        <v>178</v>
      </c>
      <c r="U209" s="32" t="str">
        <f>LEFT(Table3[[#This Row],[Stage]],FIND(".",Table3[[#This Row],[Stage]],1)-1)</f>
        <v>7</v>
      </c>
      <c r="V209" s="31" t="str">
        <f>VLOOKUP(ABS(Table3[[#This Row],[Type]]),[1]!Table9[#All],2)</f>
        <v>Carpentry</v>
      </c>
    </row>
    <row r="210" spans="1:22" x14ac:dyDescent="0.45">
      <c r="A210" s="24">
        <v>44369</v>
      </c>
      <c r="B210" t="s">
        <v>151</v>
      </c>
      <c r="C210" s="94">
        <v>8.0299999999999994</v>
      </c>
      <c r="D210" s="40" t="s">
        <v>144</v>
      </c>
      <c r="E210" s="25" t="s">
        <v>46</v>
      </c>
      <c r="F210" s="153"/>
      <c r="G210" s="126">
        <v>1</v>
      </c>
      <c r="H210" s="58">
        <v>249.65</v>
      </c>
      <c r="I210" s="109"/>
      <c r="J210" s="109">
        <f>(Table3[[#This Row],[QTY]]*Table3[[#This Row],[Supplies Cost]])+Table3[[#This Row],[Tax/Fees]]</f>
        <v>249.65</v>
      </c>
      <c r="K210" s="40"/>
      <c r="L210" s="154" t="s">
        <v>33</v>
      </c>
      <c r="M210" s="40" t="s">
        <v>77</v>
      </c>
      <c r="N210" s="40"/>
      <c r="O210" s="1"/>
      <c r="P210" s="40"/>
      <c r="Q210" s="155" t="s">
        <v>157</v>
      </c>
      <c r="R210" s="40">
        <v>8.0310900000000007</v>
      </c>
      <c r="S210" s="40"/>
      <c r="T210" s="155" t="s">
        <v>60</v>
      </c>
      <c r="U210" s="40" t="str">
        <f>LEFT(Table3[[#This Row],[Stage]],FIND(".",Table3[[#This Row],[Stage]],1)-1)</f>
        <v>8</v>
      </c>
      <c r="V210" s="31" t="str">
        <f>VLOOKUP(ABS(Table3[[#This Row],[Type]]),[1]!Table9[#All],2)</f>
        <v>Administrative</v>
      </c>
    </row>
    <row r="211" spans="1:22" x14ac:dyDescent="0.45">
      <c r="A211" s="24">
        <v>44370</v>
      </c>
      <c r="B211" t="s">
        <v>146</v>
      </c>
      <c r="C211" s="34">
        <v>10.199999999999999</v>
      </c>
      <c r="D211" s="1" t="s">
        <v>290</v>
      </c>
      <c r="E211" s="56" t="s">
        <v>71</v>
      </c>
      <c r="F211" s="125"/>
      <c r="G211" s="29">
        <v>1</v>
      </c>
      <c r="H211" s="28">
        <v>1922.04</v>
      </c>
      <c r="I211" s="30">
        <v>336.36</v>
      </c>
      <c r="J211" s="109">
        <f>(Table3[[#This Row],[QTY]]*Table3[[#This Row],[Supplies Cost]])+Table3[[#This Row],[Tax/Fees]]</f>
        <v>2258.4</v>
      </c>
      <c r="K211" s="31"/>
      <c r="L211" s="33" t="s">
        <v>33</v>
      </c>
      <c r="M211" s="31" t="s">
        <v>47</v>
      </c>
      <c r="N211" s="31"/>
      <c r="O211" s="31"/>
      <c r="P211" s="31"/>
      <c r="Q211" s="31" t="s">
        <v>157</v>
      </c>
      <c r="R211" s="31">
        <v>10.295999999999999</v>
      </c>
      <c r="S211" s="31"/>
      <c r="T211" s="31" t="s">
        <v>178</v>
      </c>
      <c r="U211" s="32" t="str">
        <f>LEFT(Table3[[#This Row],[Stage]],FIND(".",Table3[[#This Row],[Stage]],1)-1)</f>
        <v>10</v>
      </c>
      <c r="V211" s="31" t="str">
        <f>VLOOKUP(ABS(Table3[[#This Row],[Type]]),[1]!Table9[#All],2)</f>
        <v>Plumbing</v>
      </c>
    </row>
    <row r="212" spans="1:22" x14ac:dyDescent="0.45">
      <c r="A212" s="24">
        <v>44370</v>
      </c>
      <c r="B212" t="s">
        <v>291</v>
      </c>
      <c r="C212" s="34">
        <v>7.36</v>
      </c>
      <c r="D212" s="152" t="s">
        <v>233</v>
      </c>
      <c r="E212" s="25" t="s">
        <v>116</v>
      </c>
      <c r="F212" s="29"/>
      <c r="G212" s="126">
        <v>1</v>
      </c>
      <c r="H212" s="28">
        <v>581.63</v>
      </c>
      <c r="I212" s="30"/>
      <c r="J212" s="109">
        <f>(Table3[[#This Row],[QTY]]*Table3[[#This Row],[Supplies Cost]])+Table3[[#This Row],[Tax/Fees]]</f>
        <v>581.63</v>
      </c>
      <c r="K212" s="31"/>
      <c r="L212" s="33" t="s">
        <v>33</v>
      </c>
      <c r="M212" s="31" t="s">
        <v>77</v>
      </c>
      <c r="N212" s="31"/>
      <c r="O212" s="31"/>
      <c r="P212" s="31"/>
      <c r="Q212" s="31" t="s">
        <v>157</v>
      </c>
      <c r="R212" s="31">
        <v>7.3695500000000003</v>
      </c>
      <c r="S212" s="31"/>
      <c r="T212" s="31" t="s">
        <v>292</v>
      </c>
      <c r="U212" s="32" t="str">
        <f>LEFT(Table3[[#This Row],[Stage]],FIND(".",Table3[[#This Row],[Stage]],1)-1)</f>
        <v>7</v>
      </c>
      <c r="V212" s="31" t="str">
        <f>VLOOKUP(ABS(Table3[[#This Row],[Type]]),[1]!Table9[#All],2)</f>
        <v>Carpentry</v>
      </c>
    </row>
    <row r="213" spans="1:22" x14ac:dyDescent="0.45">
      <c r="A213" s="24">
        <v>44370</v>
      </c>
      <c r="B213" t="s">
        <v>183</v>
      </c>
      <c r="C213" s="34">
        <v>3.16</v>
      </c>
      <c r="D213" s="1" t="s">
        <v>233</v>
      </c>
      <c r="E213" s="25" t="s">
        <v>71</v>
      </c>
      <c r="F213" s="29"/>
      <c r="G213" s="29">
        <v>1</v>
      </c>
      <c r="H213" s="28">
        <v>651.83000000000004</v>
      </c>
      <c r="I213" s="30"/>
      <c r="J213" s="109">
        <f>(Table3[[#This Row],[QTY]]*Table3[[#This Row],[Supplies Cost]])+Table3[[#This Row],[Tax/Fees]]</f>
        <v>651.83000000000004</v>
      </c>
      <c r="K213" s="31"/>
      <c r="L213" s="33" t="s">
        <v>33</v>
      </c>
      <c r="M213" s="31" t="s">
        <v>47</v>
      </c>
      <c r="N213" s="31"/>
      <c r="O213" s="31"/>
      <c r="P213" s="31"/>
      <c r="Q213" s="31" t="s">
        <v>102</v>
      </c>
      <c r="R213" s="31">
        <v>3.1696499999999999</v>
      </c>
      <c r="S213" s="31"/>
      <c r="T213" s="31" t="s">
        <v>178</v>
      </c>
      <c r="U213" s="32" t="str">
        <f>LEFT(Table3[[#This Row],[Stage]],FIND(".",Table3[[#This Row],[Stage]],1)-1)</f>
        <v>3</v>
      </c>
      <c r="V213" s="31" t="str">
        <f>VLOOKUP(ABS(Table3[[#This Row],[Type]]),[1]!Table9[#All],2)</f>
        <v>Masonary</v>
      </c>
    </row>
    <row r="214" spans="1:22" ht="30.75" x14ac:dyDescent="0.45">
      <c r="A214" s="24">
        <v>44371</v>
      </c>
      <c r="B214" t="s">
        <v>293</v>
      </c>
      <c r="C214" s="34">
        <v>7.22</v>
      </c>
      <c r="D214" s="90" t="s">
        <v>290</v>
      </c>
      <c r="E214" s="56" t="s">
        <v>69</v>
      </c>
      <c r="F214" s="29"/>
      <c r="G214" s="126">
        <v>1</v>
      </c>
      <c r="H214" s="30">
        <v>3557.5</v>
      </c>
      <c r="I214" s="30"/>
      <c r="J214" s="109">
        <f>(Table3[[#This Row],[QTY]]*Table3[[#This Row],[Supplies Cost]])+Table3[[#This Row],[Tax/Fees]]</f>
        <v>3557.5</v>
      </c>
      <c r="K214" s="31"/>
      <c r="L214" s="33" t="s">
        <v>92</v>
      </c>
      <c r="M214" s="31" t="s">
        <v>34</v>
      </c>
      <c r="N214" s="31"/>
      <c r="O214">
        <v>21062401</v>
      </c>
      <c r="P214" s="31"/>
      <c r="Q214" s="31" t="s">
        <v>157</v>
      </c>
      <c r="R214" s="31"/>
      <c r="S214" s="31"/>
      <c r="T214" s="31" t="s">
        <v>197</v>
      </c>
      <c r="U214" s="32" t="str">
        <f>LEFT(Table3[[#This Row],[Stage]],FIND(".",Table3[[#This Row],[Stage]],1)-1)</f>
        <v>7</v>
      </c>
      <c r="V214" s="31" t="str">
        <f>VLOOKUP(ABS(Table3[[#This Row],[Type]]),[1]!Table9[#All],2)</f>
        <v>Carpentry</v>
      </c>
    </row>
    <row r="215" spans="1:22" x14ac:dyDescent="0.45">
      <c r="A215" s="24">
        <v>44371</v>
      </c>
      <c r="B215" t="s">
        <v>294</v>
      </c>
      <c r="C215" s="34">
        <v>10.35</v>
      </c>
      <c r="D215" s="90" t="s">
        <v>290</v>
      </c>
      <c r="E215" s="56" t="s">
        <v>69</v>
      </c>
      <c r="F215" s="125"/>
      <c r="G215" s="29">
        <v>1</v>
      </c>
      <c r="H215" s="28">
        <v>875</v>
      </c>
      <c r="I215" s="30"/>
      <c r="J215" s="109">
        <f>(Table3[[#This Row],[QTY]]*Table3[[#This Row],[Supplies Cost]])+Table3[[#This Row],[Tax/Fees]]</f>
        <v>875</v>
      </c>
      <c r="K215" s="156">
        <v>4432.5</v>
      </c>
      <c r="L215" s="33" t="s">
        <v>33</v>
      </c>
      <c r="M215" s="31" t="s">
        <v>34</v>
      </c>
      <c r="N215" s="31"/>
      <c r="O215">
        <v>21062401</v>
      </c>
      <c r="P215" s="31"/>
      <c r="Q215" s="31" t="s">
        <v>157</v>
      </c>
      <c r="R215" s="31">
        <v>10.359500000000001</v>
      </c>
      <c r="S215" s="31"/>
      <c r="T215" s="157" t="s">
        <v>50</v>
      </c>
      <c r="U215" s="32" t="str">
        <f>LEFT(Table3[[#This Row],[Stage]],FIND(".",Table3[[#This Row],[Stage]],1)-1)</f>
        <v>10</v>
      </c>
      <c r="V215" s="31" t="str">
        <f>VLOOKUP(ABS(Table3[[#This Row],[Type]]),[1]!Table9[#All],2)</f>
        <v>Plumbing</v>
      </c>
    </row>
    <row r="216" spans="1:22" ht="30.75" x14ac:dyDescent="0.45">
      <c r="A216" s="24">
        <v>44373</v>
      </c>
      <c r="B216" s="25" t="s">
        <v>295</v>
      </c>
      <c r="C216" s="57">
        <v>5.25</v>
      </c>
      <c r="D216" s="90" t="s">
        <v>45</v>
      </c>
      <c r="E216" s="56" t="s">
        <v>32</v>
      </c>
      <c r="F216" s="125"/>
      <c r="G216" s="126">
        <v>1</v>
      </c>
      <c r="H216" s="28">
        <v>450</v>
      </c>
      <c r="I216" s="30"/>
      <c r="J216" s="109">
        <f>(Table3[[#This Row],[QTY]]*Table3[[#This Row],[Supplies Cost]])+Table3[[#This Row],[Tax/Fees]]</f>
        <v>450</v>
      </c>
      <c r="K216" s="31"/>
      <c r="L216" s="33" t="s">
        <v>33</v>
      </c>
      <c r="M216" s="31" t="s">
        <v>34</v>
      </c>
      <c r="N216" s="31"/>
      <c r="O216" s="31"/>
      <c r="P216" s="31"/>
      <c r="Q216" s="31" t="s">
        <v>157</v>
      </c>
      <c r="R216" s="31">
        <v>5.2592999999999996</v>
      </c>
      <c r="S216" s="31"/>
      <c r="T216" s="31" t="s">
        <v>296</v>
      </c>
      <c r="U216" s="32" t="str">
        <f>LEFT(Table3[[#This Row],[Stage]],FIND(".",Table3[[#This Row],[Stage]],1)-1)</f>
        <v>5</v>
      </c>
      <c r="V216" s="31" t="str">
        <f>VLOOKUP(ABS(Table3[[#This Row],[Type]]),[1]!Table9[#All],2)</f>
        <v>Earthworks</v>
      </c>
    </row>
    <row r="217" spans="1:22" ht="30.75" x14ac:dyDescent="0.45">
      <c r="A217" s="24">
        <v>44373</v>
      </c>
      <c r="B217" t="s">
        <v>297</v>
      </c>
      <c r="C217" s="34">
        <v>7.36</v>
      </c>
      <c r="D217" s="31" t="s">
        <v>290</v>
      </c>
      <c r="E217" t="s">
        <v>219</v>
      </c>
      <c r="F217" s="125"/>
      <c r="G217" s="29">
        <v>1</v>
      </c>
      <c r="H217" s="28">
        <v>1699.99</v>
      </c>
      <c r="I217" s="30"/>
      <c r="J217" s="109">
        <f>(Table3[[#This Row],[QTY]]*Table3[[#This Row],[Supplies Cost]])+Table3[[#This Row],[Tax/Fees]]</f>
        <v>1699.99</v>
      </c>
      <c r="K217" s="31"/>
      <c r="L217" s="33" t="s">
        <v>33</v>
      </c>
      <c r="M217" s="31" t="s">
        <v>47</v>
      </c>
      <c r="N217" s="31"/>
      <c r="O217" s="31"/>
      <c r="P217" s="31"/>
      <c r="Q217" s="40" t="s">
        <v>157</v>
      </c>
      <c r="R217" s="31">
        <v>7.3693999999999997</v>
      </c>
      <c r="S217" s="31"/>
      <c r="T217" s="31" t="s">
        <v>197</v>
      </c>
      <c r="U217" s="32" t="str">
        <f>LEFT(Table3[[#This Row],[Stage]],FIND(".",Table3[[#This Row],[Stage]],1)-1)</f>
        <v>7</v>
      </c>
      <c r="V217" s="31" t="str">
        <f>VLOOKUP(ABS(Table3[[#This Row],[Type]]),[1]!Table9[#All],2)</f>
        <v>Carpentry</v>
      </c>
    </row>
    <row r="218" spans="1:22" x14ac:dyDescent="0.45">
      <c r="A218" s="24">
        <v>44376</v>
      </c>
      <c r="B218" s="25" t="s">
        <v>298</v>
      </c>
      <c r="C218" s="34">
        <v>5.42</v>
      </c>
      <c r="D218" s="27" t="s">
        <v>45</v>
      </c>
      <c r="E218" s="25" t="s">
        <v>64</v>
      </c>
      <c r="F218" s="29"/>
      <c r="G218" s="126">
        <v>1</v>
      </c>
      <c r="H218" s="28">
        <v>4020</v>
      </c>
      <c r="I218" s="30"/>
      <c r="J218" s="109">
        <f>(Table3[[#This Row],[QTY]]*Table3[[#This Row],[Supplies Cost]])+Table3[[#This Row],[Tax/Fees]]</f>
        <v>4020</v>
      </c>
      <c r="K218" s="31"/>
      <c r="L218" s="33" t="s">
        <v>33</v>
      </c>
      <c r="M218" s="31" t="s">
        <v>34</v>
      </c>
      <c r="N218" s="31"/>
      <c r="O218" s="31"/>
      <c r="P218" s="31"/>
      <c r="Q218" s="31" t="s">
        <v>157</v>
      </c>
      <c r="R218" s="31">
        <v>5.4293500000000003</v>
      </c>
      <c r="S218" s="31"/>
      <c r="T218" s="31" t="s">
        <v>56</v>
      </c>
      <c r="U218" s="32" t="str">
        <f>LEFT(Table3[[#This Row],[Stage]],FIND(".",Table3[[#This Row],[Stage]],1)-1)</f>
        <v>5</v>
      </c>
      <c r="V218" s="31" t="str">
        <f>VLOOKUP(ABS(Table3[[#This Row],[Type]]),[1]!Table9[#All],2)</f>
        <v>Earthworks</v>
      </c>
    </row>
    <row r="219" spans="1:22" ht="30.75" x14ac:dyDescent="0.45">
      <c r="A219" s="24">
        <v>44378</v>
      </c>
      <c r="B219" t="s">
        <v>299</v>
      </c>
      <c r="C219" s="34">
        <v>7.22</v>
      </c>
      <c r="D219" s="27" t="s">
        <v>290</v>
      </c>
      <c r="E219" s="25" t="s">
        <v>69</v>
      </c>
      <c r="F219" s="29"/>
      <c r="G219" s="29">
        <v>1</v>
      </c>
      <c r="H219" s="28">
        <v>4980.5</v>
      </c>
      <c r="I219" s="30"/>
      <c r="J219" s="109">
        <f>(Table3[[#This Row],[QTY]]*Table3[[#This Row],[Supplies Cost]])+Table3[[#This Row],[Tax/Fees]]</f>
        <v>4980.5</v>
      </c>
      <c r="K219" s="31"/>
      <c r="L219" s="33" t="s">
        <v>33</v>
      </c>
      <c r="M219" s="31" t="s">
        <v>34</v>
      </c>
      <c r="N219" s="31"/>
      <c r="O219" s="31"/>
      <c r="P219" s="31"/>
      <c r="Q219" s="31" t="s">
        <v>157</v>
      </c>
      <c r="R219" s="31">
        <v>7.2292500000000004</v>
      </c>
      <c r="S219" s="31"/>
      <c r="T219" s="31" t="s">
        <v>197</v>
      </c>
      <c r="U219" s="32" t="str">
        <f>LEFT(Table3[[#This Row],[Stage]],FIND(".",Table3[[#This Row],[Stage]],1)-1)</f>
        <v>7</v>
      </c>
      <c r="V219" s="31" t="str">
        <f>VLOOKUP(ABS(Table3[[#This Row],[Type]]),[1]!Table9[#All],2)</f>
        <v>Carpentry</v>
      </c>
    </row>
    <row r="220" spans="1:22" x14ac:dyDescent="0.45">
      <c r="A220" s="24">
        <v>44380</v>
      </c>
      <c r="B220" t="s">
        <v>300</v>
      </c>
      <c r="C220" s="34">
        <v>5.64</v>
      </c>
      <c r="D220" s="31" t="s">
        <v>45</v>
      </c>
      <c r="E220" s="25" t="s">
        <v>116</v>
      </c>
      <c r="F220" s="29"/>
      <c r="G220" s="126">
        <v>1</v>
      </c>
      <c r="H220" s="28">
        <v>141</v>
      </c>
      <c r="I220" s="30"/>
      <c r="J220" s="109">
        <f>(Table3[[#This Row],[QTY]]*Table3[[#This Row],[Supplies Cost]])+Table3[[#This Row],[Tax/Fees]]</f>
        <v>141</v>
      </c>
      <c r="K220" s="31"/>
      <c r="L220" s="33" t="s">
        <v>33</v>
      </c>
      <c r="M220" s="31" t="s">
        <v>77</v>
      </c>
      <c r="N220" s="31"/>
      <c r="O220" s="31"/>
      <c r="P220" s="31"/>
      <c r="Q220" s="31"/>
      <c r="R220" s="31">
        <v>5.6498499999999998</v>
      </c>
      <c r="S220" s="31"/>
      <c r="T220" s="31" t="s">
        <v>160</v>
      </c>
      <c r="U220" s="32" t="str">
        <f>LEFT(Table3[[#This Row],[Stage]],FIND(".",Table3[[#This Row],[Stage]],1)-1)</f>
        <v>5</v>
      </c>
      <c r="V220" s="31" t="str">
        <f>VLOOKUP(ABS(Table3[[#This Row],[Type]]),[1]!Table9[#All],2)</f>
        <v>Earthworks</v>
      </c>
    </row>
    <row r="221" spans="1:22" x14ac:dyDescent="0.45">
      <c r="A221" s="24">
        <v>44380</v>
      </c>
      <c r="B221" t="s">
        <v>301</v>
      </c>
      <c r="C221" s="34">
        <v>7.36</v>
      </c>
      <c r="D221" s="31" t="s">
        <v>273</v>
      </c>
      <c r="E221" s="25" t="s">
        <v>219</v>
      </c>
      <c r="F221" s="29"/>
      <c r="G221" s="29">
        <v>1</v>
      </c>
      <c r="H221" s="28">
        <v>2039.99</v>
      </c>
      <c r="I221" s="30"/>
      <c r="J221" s="109">
        <f>(Table3[[#This Row],[QTY]]*Table3[[#This Row],[Supplies Cost]])+Table3[[#This Row],[Tax/Fees]]</f>
        <v>2039.99</v>
      </c>
      <c r="K221" s="31"/>
      <c r="L221" s="33" t="s">
        <v>33</v>
      </c>
      <c r="M221" s="31" t="s">
        <v>47</v>
      </c>
      <c r="N221" s="31"/>
      <c r="O221" s="31"/>
      <c r="P221" s="31"/>
      <c r="Q221" s="31"/>
      <c r="R221" s="31">
        <v>7.3697499999999998</v>
      </c>
      <c r="S221" s="31"/>
      <c r="T221" s="31" t="s">
        <v>302</v>
      </c>
      <c r="U221" s="32" t="str">
        <f>LEFT(Table3[[#This Row],[Stage]],FIND(".",Table3[[#This Row],[Stage]],1)-1)</f>
        <v>7</v>
      </c>
      <c r="V221" s="31" t="str">
        <f>VLOOKUP(ABS(Table3[[#This Row],[Type]]),[1]!Table9[#All],2)</f>
        <v>Carpentry</v>
      </c>
    </row>
    <row r="222" spans="1:22" x14ac:dyDescent="0.45">
      <c r="A222" s="24">
        <v>44380</v>
      </c>
      <c r="B222" t="s">
        <v>303</v>
      </c>
      <c r="C222" s="94">
        <v>3.46</v>
      </c>
      <c r="D222" s="31" t="s">
        <v>177</v>
      </c>
      <c r="E222" s="132" t="s">
        <v>108</v>
      </c>
      <c r="F222" s="125"/>
      <c r="G222" s="126">
        <v>1</v>
      </c>
      <c r="H222" s="28">
        <v>3647.2</v>
      </c>
      <c r="I222" s="30"/>
      <c r="J222" s="109">
        <f>(Table3[[#This Row],[QTY]]*Table3[[#This Row],[Supplies Cost]])+Table3[[#This Row],[Tax/Fees]]</f>
        <v>3647.2</v>
      </c>
      <c r="K222" s="156"/>
      <c r="L222" s="33" t="s">
        <v>33</v>
      </c>
      <c r="M222" s="31" t="s">
        <v>47</v>
      </c>
      <c r="N222" s="31"/>
      <c r="O222" s="31"/>
      <c r="P222" s="31"/>
      <c r="Q222" s="31"/>
      <c r="R222" s="31">
        <v>3.4698000000000002</v>
      </c>
      <c r="S222" s="31"/>
      <c r="T222" s="31" t="s">
        <v>269</v>
      </c>
      <c r="U222" s="32" t="str">
        <f>LEFT(Table3[[#This Row],[Stage]],FIND(".",Table3[[#This Row],[Stage]],1)-1)</f>
        <v>3</v>
      </c>
      <c r="V222" s="31" t="str">
        <f>VLOOKUP(ABS(Table3[[#This Row],[Type]]),[1]!Table9[#All],2)</f>
        <v>Masonary</v>
      </c>
    </row>
    <row r="223" spans="1:22" x14ac:dyDescent="0.45">
      <c r="A223" s="24">
        <v>44385</v>
      </c>
      <c r="B223" t="s">
        <v>304</v>
      </c>
      <c r="C223" s="34">
        <v>3.46</v>
      </c>
      <c r="D223" s="152" t="s">
        <v>273</v>
      </c>
      <c r="E223" s="56" t="s">
        <v>71</v>
      </c>
      <c r="F223" s="28"/>
      <c r="G223" s="29">
        <v>1</v>
      </c>
      <c r="H223" s="28">
        <v>2546.61</v>
      </c>
      <c r="I223" s="28">
        <v>445.66</v>
      </c>
      <c r="J223" s="109">
        <f>(Table3[[#This Row],[QTY]]*Table3[[#This Row],[Supplies Cost]])+Table3[[#This Row],[Tax/Fees]]</f>
        <v>2992.27</v>
      </c>
      <c r="K223" s="31"/>
      <c r="L223" s="33" t="s">
        <v>33</v>
      </c>
      <c r="M223" s="31" t="s">
        <v>47</v>
      </c>
      <c r="N223" s="31"/>
      <c r="P223" s="31"/>
      <c r="Q223" s="31" t="s">
        <v>83</v>
      </c>
      <c r="R223" s="31">
        <v>3.4697</v>
      </c>
      <c r="S223" s="31"/>
      <c r="T223" s="31" t="s">
        <v>274</v>
      </c>
      <c r="U223" s="32" t="str">
        <f>LEFT(Table3[[#This Row],[Stage]],FIND(".",Table3[[#This Row],[Stage]],1)-1)</f>
        <v>3</v>
      </c>
      <c r="V223" s="31" t="str">
        <f>VLOOKUP(ABS(Table3[[#This Row],[Type]]),[1]!Table9[#All],2)</f>
        <v>Masonary</v>
      </c>
    </row>
    <row r="224" spans="1:22" ht="30.75" x14ac:dyDescent="0.45">
      <c r="A224" s="24">
        <v>44385</v>
      </c>
      <c r="B224" t="s">
        <v>305</v>
      </c>
      <c r="C224" s="34">
        <v>13.37</v>
      </c>
      <c r="D224" s="152" t="s">
        <v>290</v>
      </c>
      <c r="E224" s="56" t="s">
        <v>69</v>
      </c>
      <c r="F224" s="29"/>
      <c r="G224" s="126">
        <v>1</v>
      </c>
      <c r="H224" s="28">
        <v>720</v>
      </c>
      <c r="I224" s="30"/>
      <c r="J224" s="109">
        <f>(Table3[[#This Row],[QTY]]*Table3[[#This Row],[Supplies Cost]])+Table3[[#This Row],[Tax/Fees]]</f>
        <v>720</v>
      </c>
      <c r="K224" s="156">
        <v>3566</v>
      </c>
      <c r="L224" s="33" t="s">
        <v>33</v>
      </c>
      <c r="M224" s="31" t="s">
        <v>34</v>
      </c>
      <c r="N224" s="31"/>
      <c r="O224" s="1">
        <v>21070801</v>
      </c>
      <c r="P224" s="31"/>
      <c r="Q224" s="31"/>
      <c r="R224" s="31">
        <v>13.379949999999999</v>
      </c>
      <c r="S224" s="31"/>
      <c r="T224" s="31" t="s">
        <v>261</v>
      </c>
      <c r="U224" s="32" t="str">
        <f>LEFT(Table3[[#This Row],[Stage]],FIND(".",Table3[[#This Row],[Stage]],1)-1)</f>
        <v>13</v>
      </c>
      <c r="V224" s="31" t="str">
        <f>VLOOKUP(ABS(Table3[[#This Row],[Type]]),[1]!Table9[#All],2)</f>
        <v>Electrical</v>
      </c>
    </row>
    <row r="225" spans="1:22" ht="30.75" x14ac:dyDescent="0.45">
      <c r="A225" s="24">
        <v>44385</v>
      </c>
      <c r="B225" t="s">
        <v>306</v>
      </c>
      <c r="C225" s="34">
        <v>7.22</v>
      </c>
      <c r="D225" s="152" t="s">
        <v>290</v>
      </c>
      <c r="E225" s="56" t="s">
        <v>69</v>
      </c>
      <c r="F225" s="125"/>
      <c r="G225" s="29">
        <v>1</v>
      </c>
      <c r="H225" s="28">
        <v>2846</v>
      </c>
      <c r="I225" s="30"/>
      <c r="J225" s="109">
        <f>(Table3[[#This Row],[QTY]]*Table3[[#This Row],[Supplies Cost]])+Table3[[#This Row],[Tax/Fees]]</f>
        <v>2846</v>
      </c>
      <c r="K225" s="31"/>
      <c r="L225" s="33" t="s">
        <v>92</v>
      </c>
      <c r="M225" s="31" t="s">
        <v>34</v>
      </c>
      <c r="N225" s="31"/>
      <c r="O225">
        <v>21070801</v>
      </c>
      <c r="P225" s="31"/>
      <c r="Q225" s="31"/>
      <c r="R225" s="31"/>
      <c r="S225" s="31"/>
      <c r="T225" s="31" t="s">
        <v>197</v>
      </c>
      <c r="U225" s="32" t="str">
        <f>LEFT(Table3[[#This Row],[Stage]],FIND(".",Table3[[#This Row],[Stage]],1)-1)</f>
        <v>7</v>
      </c>
      <c r="V225" s="31" t="str">
        <f>VLOOKUP(ABS(Table3[[#This Row],[Type]]),[1]!Table9[#All],2)</f>
        <v>Carpentry</v>
      </c>
    </row>
    <row r="226" spans="1:22" x14ac:dyDescent="0.45">
      <c r="A226" s="24">
        <v>44385</v>
      </c>
      <c r="B226" s="158" t="s">
        <v>121</v>
      </c>
      <c r="C226" s="34">
        <v>1.1100000000000001</v>
      </c>
      <c r="D226" s="152" t="s">
        <v>122</v>
      </c>
      <c r="E226" s="56" t="s">
        <v>123</v>
      </c>
      <c r="F226" s="125"/>
      <c r="G226" s="126">
        <v>1</v>
      </c>
      <c r="H226" s="28">
        <v>80000</v>
      </c>
      <c r="I226" s="30">
        <v>-250</v>
      </c>
      <c r="J226" s="109">
        <f>(Table3[[#This Row],[QTY]]*Table3[[#This Row],[Supplies Cost]])+Table3[[#This Row],[Tax/Fees]]</f>
        <v>79750</v>
      </c>
      <c r="K226" s="31"/>
      <c r="L226" s="33" t="s">
        <v>33</v>
      </c>
      <c r="M226" s="31" t="s">
        <v>124</v>
      </c>
      <c r="N226" s="31"/>
      <c r="O226" s="1"/>
      <c r="P226" s="31"/>
      <c r="Q226" s="31"/>
      <c r="R226" s="31"/>
      <c r="S226" s="31"/>
      <c r="T226" s="31" t="s">
        <v>60</v>
      </c>
      <c r="U226" s="32" t="str">
        <f>LEFT(Table3[[#This Row],[Stage]],FIND(".",Table3[[#This Row],[Stage]],1)-1)</f>
        <v>1</v>
      </c>
      <c r="V226" s="31" t="str">
        <f>VLOOKUP(ABS(Table3[[#This Row],[Type]]),[1]!Table9[#All],2)</f>
        <v>Transfers</v>
      </c>
    </row>
    <row r="227" spans="1:22" x14ac:dyDescent="0.45">
      <c r="A227" s="24">
        <v>44386</v>
      </c>
      <c r="B227" t="s">
        <v>307</v>
      </c>
      <c r="C227" s="34">
        <v>3.6</v>
      </c>
      <c r="D227" s="1" t="s">
        <v>273</v>
      </c>
      <c r="E227" s="56" t="s">
        <v>119</v>
      </c>
      <c r="F227" s="28">
        <v>19540.09</v>
      </c>
      <c r="G227" s="29">
        <v>1</v>
      </c>
      <c r="H227" s="28">
        <v>19540.09</v>
      </c>
      <c r="I227" s="30"/>
      <c r="J227" s="109">
        <f>(Table3[[#This Row],[QTY]]*Table3[[#This Row],[Supplies Cost]])+Table3[[#This Row],[Tax/Fees]]</f>
        <v>19540.09</v>
      </c>
      <c r="K227" s="31"/>
      <c r="L227" s="33" t="s">
        <v>33</v>
      </c>
      <c r="M227" s="31" t="s">
        <v>47</v>
      </c>
      <c r="N227" s="31"/>
      <c r="O227" s="31"/>
      <c r="P227" s="31"/>
      <c r="Q227" s="31" t="s">
        <v>120</v>
      </c>
      <c r="R227" s="31">
        <v>3.6100500000000002</v>
      </c>
      <c r="S227" s="31"/>
      <c r="T227" s="31" t="s">
        <v>274</v>
      </c>
      <c r="U227" s="32" t="str">
        <f>LEFT(Table3[[#This Row],[Stage]],FIND(".",Table3[[#This Row],[Stage]],1)-1)</f>
        <v>3</v>
      </c>
      <c r="V227" s="31" t="str">
        <f>VLOOKUP(ABS(Table3[[#This Row],[Type]]),[1]!Table9[#All],2)</f>
        <v>Masonary</v>
      </c>
    </row>
    <row r="228" spans="1:22" x14ac:dyDescent="0.45">
      <c r="A228" s="74">
        <v>44386</v>
      </c>
      <c r="B228" s="78" t="s">
        <v>232</v>
      </c>
      <c r="C228" s="76">
        <v>3.26</v>
      </c>
      <c r="D228" s="82" t="s">
        <v>273</v>
      </c>
      <c r="E228" s="78" t="s">
        <v>67</v>
      </c>
      <c r="F228" s="159"/>
      <c r="G228" s="160">
        <v>1</v>
      </c>
      <c r="H228" s="79">
        <v>10900</v>
      </c>
      <c r="I228" s="85"/>
      <c r="J228" s="161">
        <f>(Table3[[#This Row],[QTY]]*Table3[[#This Row],[Supplies Cost]])+Table3[[#This Row],[Tax/Fees]]</f>
        <v>10900</v>
      </c>
      <c r="K228" s="82"/>
      <c r="L228" s="124" t="s">
        <v>33</v>
      </c>
      <c r="M228" s="82" t="s">
        <v>34</v>
      </c>
      <c r="N228" s="82"/>
      <c r="O228" s="82" t="s">
        <v>308</v>
      </c>
      <c r="P228" s="82"/>
      <c r="Q228" s="82" t="s">
        <v>157</v>
      </c>
      <c r="R228" s="82">
        <v>3.2610100000000002</v>
      </c>
      <c r="S228" s="82"/>
      <c r="T228" s="82" t="s">
        <v>274</v>
      </c>
      <c r="U228" s="84" t="str">
        <f>LEFT(Table3[[#This Row],[Stage]],FIND(".",Table3[[#This Row],[Stage]],1)-1)</f>
        <v>3</v>
      </c>
      <c r="V228" s="82" t="str">
        <f>VLOOKUP(ABS(Table3[[#This Row],[Type]]),[1]!Table9[#All],2)</f>
        <v>Masonary</v>
      </c>
    </row>
    <row r="229" spans="1:22" x14ac:dyDescent="0.45">
      <c r="A229" s="74">
        <v>44386</v>
      </c>
      <c r="B229" s="78" t="s">
        <v>232</v>
      </c>
      <c r="C229" s="76">
        <v>3.26</v>
      </c>
      <c r="D229" s="82" t="s">
        <v>273</v>
      </c>
      <c r="E229" s="78" t="s">
        <v>67</v>
      </c>
      <c r="F229" s="159"/>
      <c r="G229" s="80">
        <v>1</v>
      </c>
      <c r="H229" s="79">
        <v>4100</v>
      </c>
      <c r="I229" s="85"/>
      <c r="J229" s="161">
        <f>(Table3[[#This Row],[QTY]]*Table3[[#This Row],[Supplies Cost]])+Table3[[#This Row],[Tax/Fees]]</f>
        <v>4100</v>
      </c>
      <c r="K229" s="82">
        <v>15000</v>
      </c>
      <c r="L229" s="124" t="s">
        <v>33</v>
      </c>
      <c r="M229" s="82" t="s">
        <v>34</v>
      </c>
      <c r="N229" s="82"/>
      <c r="O229" s="82" t="s">
        <v>308</v>
      </c>
      <c r="P229" s="82"/>
      <c r="Q229" s="82" t="s">
        <v>157</v>
      </c>
      <c r="R229" s="82">
        <v>3.2610100000000002</v>
      </c>
      <c r="S229" s="82"/>
      <c r="T229" s="82" t="s">
        <v>98</v>
      </c>
      <c r="U229" s="84" t="str">
        <f>LEFT(Table3[[#This Row],[Stage]],FIND(".",Table3[[#This Row],[Stage]],1)-1)</f>
        <v>3</v>
      </c>
      <c r="V229" s="82" t="str">
        <f>VLOOKUP(ABS(Table3[[#This Row],[Type]]),[1]!Table9[#All],2)</f>
        <v>Masonary</v>
      </c>
    </row>
    <row r="230" spans="1:22" x14ac:dyDescent="0.45">
      <c r="A230" s="24">
        <v>44386</v>
      </c>
      <c r="B230" s="25" t="s">
        <v>309</v>
      </c>
      <c r="C230" s="34">
        <v>3.26</v>
      </c>
      <c r="D230" s="31" t="s">
        <v>273</v>
      </c>
      <c r="E230" s="25" t="s">
        <v>52</v>
      </c>
      <c r="F230" s="29"/>
      <c r="G230" s="29">
        <v>1</v>
      </c>
      <c r="H230" s="28">
        <v>62.99</v>
      </c>
      <c r="I230" s="30"/>
      <c r="J230" s="109">
        <f>(Table3[[#This Row],[QTY]]*Table3[[#This Row],[Supplies Cost]])+Table3[[#This Row],[Tax/Fees]]</f>
        <v>62.99</v>
      </c>
      <c r="K230" s="31"/>
      <c r="L230" s="33" t="s">
        <v>33</v>
      </c>
      <c r="M230" s="31" t="s">
        <v>47</v>
      </c>
      <c r="N230" s="31"/>
      <c r="O230" s="31"/>
      <c r="P230" s="31"/>
      <c r="Q230" s="31" t="s">
        <v>157</v>
      </c>
      <c r="R230" s="31">
        <v>3.261015</v>
      </c>
      <c r="S230" s="31"/>
      <c r="T230" s="31" t="s">
        <v>274</v>
      </c>
      <c r="U230" s="32" t="str">
        <f>LEFT(Table3[[#This Row],[Stage]],FIND(".",Table3[[#This Row],[Stage]],1)-1)</f>
        <v>3</v>
      </c>
      <c r="V230" s="31" t="str">
        <f>VLOOKUP(ABS(Table3[[#This Row],[Type]]),[1]!Table9[#All],2)</f>
        <v>Masonary</v>
      </c>
    </row>
    <row r="231" spans="1:22" x14ac:dyDescent="0.45">
      <c r="A231" s="24">
        <v>44386</v>
      </c>
      <c r="B231" t="s">
        <v>310</v>
      </c>
      <c r="C231" s="34">
        <v>3.26</v>
      </c>
      <c r="D231" s="1" t="s">
        <v>273</v>
      </c>
      <c r="E231" s="56" t="s">
        <v>71</v>
      </c>
      <c r="F231" s="125"/>
      <c r="G231" s="126">
        <v>1</v>
      </c>
      <c r="H231" s="28">
        <v>127.9</v>
      </c>
      <c r="I231" s="30"/>
      <c r="J231" s="109">
        <f>(Table3[[#This Row],[QTY]]*Table3[[#This Row],[Supplies Cost]])+Table3[[#This Row],[Tax/Fees]]</f>
        <v>127.9</v>
      </c>
      <c r="K231" s="31"/>
      <c r="L231" s="33" t="s">
        <v>33</v>
      </c>
      <c r="M231" s="31" t="s">
        <v>47</v>
      </c>
      <c r="N231" s="31"/>
      <c r="O231" s="31"/>
      <c r="P231" s="31"/>
      <c r="Q231" s="31" t="s">
        <v>157</v>
      </c>
      <c r="R231" s="31">
        <v>3.2610199999999998</v>
      </c>
      <c r="S231" s="31"/>
      <c r="T231" s="31" t="s">
        <v>274</v>
      </c>
      <c r="U231" s="32" t="str">
        <f>LEFT(Table3[[#This Row],[Stage]],FIND(".",Table3[[#This Row],[Stage]],1)-1)</f>
        <v>3</v>
      </c>
      <c r="V231" s="31" t="str">
        <f>VLOOKUP(ABS(Table3[[#This Row],[Type]]),[1]!Table9[#All],2)</f>
        <v>Masonary</v>
      </c>
    </row>
    <row r="232" spans="1:22" x14ac:dyDescent="0.45">
      <c r="A232" s="24">
        <v>44390</v>
      </c>
      <c r="B232" t="s">
        <v>311</v>
      </c>
      <c r="C232" s="34">
        <v>3.26</v>
      </c>
      <c r="D232" s="1" t="s">
        <v>273</v>
      </c>
      <c r="E232" s="56" t="s">
        <v>312</v>
      </c>
      <c r="F232" s="125"/>
      <c r="G232" s="29">
        <v>1</v>
      </c>
      <c r="H232" s="28">
        <v>1125</v>
      </c>
      <c r="I232" s="30"/>
      <c r="J232" s="109">
        <f>(Table3[[#This Row],[QTY]]*Table3[[#This Row],[Supplies Cost]])+Table3[[#This Row],[Tax/Fees]]</f>
        <v>1125</v>
      </c>
      <c r="K232" s="31"/>
      <c r="L232" s="33" t="s">
        <v>33</v>
      </c>
      <c r="M232" s="31" t="s">
        <v>47</v>
      </c>
      <c r="N232" s="31"/>
      <c r="O232" s="31"/>
      <c r="P232" s="31"/>
      <c r="Q232" s="31"/>
      <c r="R232" s="31">
        <v>3.2610299999999999</v>
      </c>
      <c r="S232" s="31"/>
      <c r="T232" s="31" t="s">
        <v>274</v>
      </c>
      <c r="U232" s="32" t="str">
        <f>LEFT(Table3[[#This Row],[Stage]],FIND(".",Table3[[#This Row],[Stage]],1)-1)</f>
        <v>3</v>
      </c>
      <c r="V232" s="31" t="str">
        <f>VLOOKUP(ABS(Table3[[#This Row],[Type]]),[1]!Table9[#All],2)</f>
        <v>Masonary</v>
      </c>
    </row>
    <row r="233" spans="1:22" x14ac:dyDescent="0.45">
      <c r="A233" s="24">
        <v>44390</v>
      </c>
      <c r="B233" t="s">
        <v>313</v>
      </c>
      <c r="C233" s="34">
        <v>3.26</v>
      </c>
      <c r="D233" s="1" t="s">
        <v>199</v>
      </c>
      <c r="E233" s="56" t="s">
        <v>71</v>
      </c>
      <c r="F233" s="29"/>
      <c r="G233" s="29">
        <v>1</v>
      </c>
      <c r="H233" s="28">
        <v>651.83000000000004</v>
      </c>
      <c r="I233" s="30"/>
      <c r="J233" s="109">
        <f>(Table3[[#This Row],[QTY]]*Table3[[#This Row],[Supplies Cost]])+Table3[[#This Row],[Tax/Fees]]</f>
        <v>651.83000000000004</v>
      </c>
      <c r="K233" s="31"/>
      <c r="L233" s="33" t="s">
        <v>33</v>
      </c>
      <c r="M233" s="31" t="s">
        <v>47</v>
      </c>
      <c r="N233" s="31"/>
      <c r="O233" s="31"/>
      <c r="P233" s="31"/>
      <c r="Q233" s="31" t="s">
        <v>102</v>
      </c>
      <c r="R233" s="31">
        <v>3.2610250000000001</v>
      </c>
      <c r="S233" s="31"/>
      <c r="T233" s="31" t="s">
        <v>269</v>
      </c>
      <c r="U233" s="32" t="str">
        <f>LEFT(Table3[[#This Row],[Stage]],FIND(".",Table3[[#This Row],[Stage]],1)-1)</f>
        <v>3</v>
      </c>
      <c r="V233" s="31" t="str">
        <f>VLOOKUP(ABS(Table3[[#This Row],[Type]]),[1]!Table9[#All],2)</f>
        <v>Masonary</v>
      </c>
    </row>
    <row r="234" spans="1:22" x14ac:dyDescent="0.45">
      <c r="A234" s="24">
        <v>44395</v>
      </c>
      <c r="B234" t="s">
        <v>185</v>
      </c>
      <c r="C234" s="34">
        <v>5.44</v>
      </c>
      <c r="D234" s="152" t="s">
        <v>45</v>
      </c>
      <c r="E234" s="25" t="s">
        <v>76</v>
      </c>
      <c r="F234" s="125"/>
      <c r="G234" s="29">
        <v>1</v>
      </c>
      <c r="H234" s="28">
        <v>600</v>
      </c>
      <c r="I234" s="30"/>
      <c r="J234" s="109">
        <f>(Table3[[#This Row],[QTY]]*Table3[[#This Row],[Supplies Cost]])+Table3[[#This Row],[Tax/Fees]]</f>
        <v>600</v>
      </c>
      <c r="K234" s="31"/>
      <c r="L234" s="33" t="s">
        <v>33</v>
      </c>
      <c r="M234" s="31" t="s">
        <v>77</v>
      </c>
      <c r="N234" s="31"/>
      <c r="O234" s="31"/>
      <c r="P234" s="31"/>
      <c r="Q234" s="31"/>
      <c r="R234" s="31">
        <v>5.4410600000000002</v>
      </c>
      <c r="S234" s="31"/>
      <c r="T234" s="31" t="s">
        <v>79</v>
      </c>
      <c r="U234" s="32" t="str">
        <f>LEFT(Table3[[#This Row],[Stage]],FIND(".",Table3[[#This Row],[Stage]],1)-1)</f>
        <v>5</v>
      </c>
      <c r="V234" s="31" t="str">
        <f>VLOOKUP(ABS(Table3[[#This Row],[Type]]),[1]!Table9[#All],2)</f>
        <v>Earthworks</v>
      </c>
    </row>
    <row r="235" spans="1:22" x14ac:dyDescent="0.45">
      <c r="A235" s="24">
        <v>44395</v>
      </c>
      <c r="B235" t="s">
        <v>126</v>
      </c>
      <c r="C235" s="34">
        <v>8.0399999999999991</v>
      </c>
      <c r="D235" s="27" t="s">
        <v>45</v>
      </c>
      <c r="E235" s="56" t="s">
        <v>127</v>
      </c>
      <c r="F235" s="29"/>
      <c r="G235" s="126">
        <v>1</v>
      </c>
      <c r="H235" s="28">
        <v>305.5</v>
      </c>
      <c r="I235" s="30"/>
      <c r="J235" s="109">
        <f>(Table3[[#This Row],[QTY]]*Table3[[#This Row],[Supplies Cost]])+Table3[[#This Row],[Tax/Fees]]</f>
        <v>305.5</v>
      </c>
      <c r="K235" s="156"/>
      <c r="L235" s="33" t="s">
        <v>33</v>
      </c>
      <c r="M235" s="31" t="s">
        <v>77</v>
      </c>
      <c r="N235" s="31"/>
      <c r="O235" s="31"/>
      <c r="P235" s="31"/>
      <c r="Q235" s="31"/>
      <c r="R235" s="31">
        <v>8.0410649999999997</v>
      </c>
      <c r="S235" s="31"/>
      <c r="T235" s="31" t="s">
        <v>129</v>
      </c>
      <c r="U235" s="32" t="str">
        <f>LEFT(Table3[[#This Row],[Stage]],FIND(".",Table3[[#This Row],[Stage]],1)-1)</f>
        <v>8</v>
      </c>
      <c r="V235" s="31" t="str">
        <f>VLOOKUP(ABS(Table3[[#This Row],[Type]]),[1]!Table9[#All],2)</f>
        <v>Administrative</v>
      </c>
    </row>
    <row r="236" spans="1:22" x14ac:dyDescent="0.45">
      <c r="A236" s="24">
        <v>44395</v>
      </c>
      <c r="B236" t="s">
        <v>314</v>
      </c>
      <c r="C236" s="34">
        <v>7.36</v>
      </c>
      <c r="D236" s="1" t="s">
        <v>273</v>
      </c>
      <c r="E236" s="25" t="s">
        <v>116</v>
      </c>
      <c r="F236" s="29"/>
      <c r="G236" s="29">
        <v>1</v>
      </c>
      <c r="H236" s="28">
        <v>528.75</v>
      </c>
      <c r="I236" s="30"/>
      <c r="J236" s="109">
        <f>(Table3[[#This Row],[QTY]]*Table3[[#This Row],[Supplies Cost]])+Table3[[#This Row],[Tax/Fees]]</f>
        <v>528.75</v>
      </c>
      <c r="K236" s="31"/>
      <c r="L236" s="33" t="s">
        <v>33</v>
      </c>
      <c r="M236" s="31" t="s">
        <v>77</v>
      </c>
      <c r="N236" s="31"/>
      <c r="O236" s="31"/>
      <c r="P236" s="31"/>
      <c r="Q236" s="31"/>
      <c r="R236" s="31">
        <v>7.3610550000000003</v>
      </c>
      <c r="S236" s="31"/>
      <c r="T236" s="31" t="s">
        <v>274</v>
      </c>
      <c r="U236" s="32" t="str">
        <f>LEFT(Table3[[#This Row],[Stage]],FIND(".",Table3[[#This Row],[Stage]],1)-1)</f>
        <v>7</v>
      </c>
      <c r="V236" s="31" t="str">
        <f>VLOOKUP(ABS(Table3[[#This Row],[Type]]),[1]!Table9[#All],2)</f>
        <v>Carpentry</v>
      </c>
    </row>
    <row r="237" spans="1:22" ht="30.75" x14ac:dyDescent="0.45">
      <c r="A237" s="24">
        <v>44396</v>
      </c>
      <c r="B237" t="s">
        <v>315</v>
      </c>
      <c r="C237" s="34">
        <v>13.38</v>
      </c>
      <c r="D237" s="1" t="s">
        <v>177</v>
      </c>
      <c r="E237" s="25" t="s">
        <v>69</v>
      </c>
      <c r="F237" s="29"/>
      <c r="G237" s="126">
        <v>1</v>
      </c>
      <c r="H237" s="28">
        <v>2040</v>
      </c>
      <c r="I237" s="30"/>
      <c r="J237" s="109">
        <f>(Table3[[#This Row],[QTY]]*Table3[[#This Row],[Supplies Cost]])+Table3[[#This Row],[Tax/Fees]]</f>
        <v>2040</v>
      </c>
      <c r="K237" s="31"/>
      <c r="L237" s="33" t="s">
        <v>92</v>
      </c>
      <c r="M237" s="40" t="s">
        <v>34</v>
      </c>
      <c r="N237" s="31"/>
      <c r="O237" s="31">
        <v>21071901</v>
      </c>
      <c r="P237" s="31"/>
      <c r="Q237" s="31"/>
      <c r="R237" s="31"/>
      <c r="S237" s="31"/>
      <c r="T237" s="31" t="s">
        <v>181</v>
      </c>
      <c r="U237" s="32" t="str">
        <f>LEFT(Table3[[#This Row],[Stage]],FIND(".",Table3[[#This Row],[Stage]],1)-1)</f>
        <v>13</v>
      </c>
      <c r="V237" s="31" t="str">
        <f>VLOOKUP(ABS(Table3[[#This Row],[Type]]),[1]!Table9[#All],2)</f>
        <v>Electrical</v>
      </c>
    </row>
    <row r="238" spans="1:22" x14ac:dyDescent="0.45">
      <c r="A238" s="24">
        <v>44396</v>
      </c>
      <c r="B238" s="56" t="s">
        <v>316</v>
      </c>
      <c r="C238" s="34">
        <v>10.38</v>
      </c>
      <c r="D238" s="31" t="s">
        <v>177</v>
      </c>
      <c r="E238" s="25" t="s">
        <v>69</v>
      </c>
      <c r="F238" s="153"/>
      <c r="G238" s="126">
        <v>1</v>
      </c>
      <c r="H238" s="58">
        <v>2430</v>
      </c>
      <c r="I238" s="109"/>
      <c r="J238" s="109">
        <f>(Table3[[#This Row],[QTY]]*Table3[[#This Row],[Supplies Cost]])+Table3[[#This Row],[Tax/Fees]]</f>
        <v>2430</v>
      </c>
      <c r="K238" s="40"/>
      <c r="L238" s="154" t="s">
        <v>92</v>
      </c>
      <c r="M238" s="40" t="s">
        <v>34</v>
      </c>
      <c r="N238" s="40"/>
      <c r="O238">
        <v>21071901</v>
      </c>
      <c r="P238" s="40"/>
      <c r="Q238" s="31"/>
      <c r="R238" s="40"/>
      <c r="S238" s="40"/>
      <c r="T238" s="40" t="s">
        <v>50</v>
      </c>
      <c r="U238" s="32" t="str">
        <f>LEFT(Table3[[#This Row],[Stage]],FIND(".",Table3[[#This Row],[Stage]],1)-1)</f>
        <v>10</v>
      </c>
      <c r="V238" s="31" t="str">
        <f>VLOOKUP(ABS(Table3[[#This Row],[Type]]),[1]!Table9[#All],2)</f>
        <v>Plumbing</v>
      </c>
    </row>
    <row r="239" spans="1:22" x14ac:dyDescent="0.45">
      <c r="A239" s="24">
        <v>44396</v>
      </c>
      <c r="B239" s="162" t="s">
        <v>134</v>
      </c>
      <c r="C239" s="34">
        <v>7.36</v>
      </c>
      <c r="D239" s="31" t="s">
        <v>177</v>
      </c>
      <c r="E239" s="56" t="s">
        <v>108</v>
      </c>
      <c r="F239" s="153"/>
      <c r="G239" s="126">
        <v>2</v>
      </c>
      <c r="H239" s="58">
        <v>911.8</v>
      </c>
      <c r="I239" s="109"/>
      <c r="J239" s="109">
        <f>(Table3[[#This Row],[QTY]]*Table3[[#This Row],[Supplies Cost]])+Table3[[#This Row],[Tax/Fees]]</f>
        <v>1823.6</v>
      </c>
      <c r="K239" s="40"/>
      <c r="L239" s="154" t="s">
        <v>33</v>
      </c>
      <c r="M239" s="40" t="s">
        <v>47</v>
      </c>
      <c r="N239" s="40"/>
      <c r="O239" s="40"/>
      <c r="P239" s="40"/>
      <c r="Q239" s="40"/>
      <c r="R239" s="40">
        <v>7.3610699999999998</v>
      </c>
      <c r="S239" s="40"/>
      <c r="T239" s="40" t="s">
        <v>269</v>
      </c>
      <c r="U239" s="40" t="str">
        <f>LEFT(Table3[[#This Row],[Stage]],FIND(".",Table3[[#This Row],[Stage]],1)-1)</f>
        <v>7</v>
      </c>
      <c r="V239" s="31" t="str">
        <f>VLOOKUP(ABS(Table3[[#This Row],[Type]]),[1]!Table9[#All],2)</f>
        <v>Carpentry</v>
      </c>
    </row>
    <row r="240" spans="1:22" x14ac:dyDescent="0.45">
      <c r="A240" s="24">
        <v>44396</v>
      </c>
      <c r="B240" s="163" t="s">
        <v>245</v>
      </c>
      <c r="C240" s="57">
        <v>7.36</v>
      </c>
      <c r="D240" s="40" t="s">
        <v>177</v>
      </c>
      <c r="E240" s="56" t="s">
        <v>108</v>
      </c>
      <c r="F240" s="126"/>
      <c r="G240" s="126">
        <v>1</v>
      </c>
      <c r="H240" s="58">
        <v>1144.45</v>
      </c>
      <c r="I240" s="109"/>
      <c r="J240" s="109">
        <f>(Table3[[#This Row],[QTY]]*Table3[[#This Row],[Supplies Cost]])+Table3[[#This Row],[Tax/Fees]]</f>
        <v>1144.45</v>
      </c>
      <c r="K240" s="40"/>
      <c r="L240" s="154" t="s">
        <v>33</v>
      </c>
      <c r="M240" s="31" t="s">
        <v>47</v>
      </c>
      <c r="N240" s="40"/>
      <c r="O240" s="40"/>
      <c r="P240" s="40"/>
      <c r="Q240" s="40"/>
      <c r="R240" s="40">
        <v>7.3610749999999996</v>
      </c>
      <c r="S240" s="40"/>
      <c r="T240" s="40" t="s">
        <v>269</v>
      </c>
      <c r="U240" s="40" t="str">
        <f>LEFT(Table3[[#This Row],[Stage]],FIND(".",Table3[[#This Row],[Stage]],1)-1)</f>
        <v>7</v>
      </c>
      <c r="V240" s="31" t="str">
        <f>VLOOKUP(ABS(Table3[[#This Row],[Type]]),[1]!Table9[#All],2)</f>
        <v>Carpentry</v>
      </c>
    </row>
    <row r="241" spans="1:22" x14ac:dyDescent="0.45">
      <c r="A241" s="24">
        <v>44396</v>
      </c>
      <c r="B241" s="56" t="s">
        <v>317</v>
      </c>
      <c r="C241" s="34">
        <v>10.38</v>
      </c>
      <c r="D241" s="31" t="s">
        <v>177</v>
      </c>
      <c r="E241" s="25" t="s">
        <v>69</v>
      </c>
      <c r="F241" s="125"/>
      <c r="G241" s="29">
        <v>1</v>
      </c>
      <c r="H241" s="28">
        <f>1050-525</f>
        <v>525</v>
      </c>
      <c r="I241" s="30"/>
      <c r="J241" s="109">
        <f>(Table3[[#This Row],[QTY]]*Table3[[#This Row],[Supplies Cost]])+Table3[[#This Row],[Tax/Fees]]</f>
        <v>525</v>
      </c>
      <c r="K241" s="164">
        <v>7841</v>
      </c>
      <c r="L241" s="154" t="s">
        <v>33</v>
      </c>
      <c r="M241" s="40" t="s">
        <v>34</v>
      </c>
      <c r="N241" s="31"/>
      <c r="O241" s="25">
        <v>21071901</v>
      </c>
      <c r="P241" s="31"/>
      <c r="Q241" s="31"/>
      <c r="R241" s="31">
        <v>10.38105</v>
      </c>
      <c r="S241" s="31"/>
      <c r="T241" s="40" t="s">
        <v>50</v>
      </c>
      <c r="U241" s="31" t="str">
        <f>LEFT(Table3[[#This Row],[Stage]],FIND(".",Table3[[#This Row],[Stage]],1)-1)</f>
        <v>10</v>
      </c>
      <c r="V241" s="31" t="str">
        <f>VLOOKUP(ABS(Table3[[#This Row],[Type]]),[1]!Table9[#All],2)</f>
        <v>Plumbing</v>
      </c>
    </row>
    <row r="242" spans="1:22" x14ac:dyDescent="0.45">
      <c r="A242" s="24">
        <v>44396</v>
      </c>
      <c r="B242" s="165" t="s">
        <v>318</v>
      </c>
      <c r="C242" s="34">
        <v>7.36</v>
      </c>
      <c r="D242" s="1" t="s">
        <v>177</v>
      </c>
      <c r="E242" s="56" t="s">
        <v>71</v>
      </c>
      <c r="F242" s="29"/>
      <c r="G242" s="29">
        <v>1</v>
      </c>
      <c r="H242" s="28">
        <v>3213.43</v>
      </c>
      <c r="I242" s="30"/>
      <c r="J242" s="109">
        <f>(Table3[[#This Row],[QTY]]*Table3[[#This Row],[Supplies Cost]])+Table3[[#This Row],[Tax/Fees]]</f>
        <v>3213.43</v>
      </c>
      <c r="K242" s="40"/>
      <c r="L242" s="154" t="s">
        <v>33</v>
      </c>
      <c r="M242" s="40" t="s">
        <v>47</v>
      </c>
      <c r="N242" s="31"/>
      <c r="O242" s="31"/>
      <c r="P242" s="31"/>
      <c r="Q242" s="31"/>
      <c r="R242" s="31">
        <v>7.3610850000000001</v>
      </c>
      <c r="S242" s="31"/>
      <c r="T242" s="31" t="s">
        <v>269</v>
      </c>
      <c r="U242" s="31" t="str">
        <f>LEFT(Table3[[#This Row],[Stage]],FIND(".",Table3[[#This Row],[Stage]],1)-1)</f>
        <v>7</v>
      </c>
      <c r="V242" s="31" t="str">
        <f>VLOOKUP(ABS(Table3[[#This Row],[Type]]),[1]!Table9[#All],2)</f>
        <v>Carpentry</v>
      </c>
    </row>
    <row r="243" spans="1:22" x14ac:dyDescent="0.45">
      <c r="A243" s="24">
        <v>44396</v>
      </c>
      <c r="B243" t="s">
        <v>319</v>
      </c>
      <c r="C243" s="34">
        <v>7.22</v>
      </c>
      <c r="D243" s="1" t="s">
        <v>290</v>
      </c>
      <c r="E243" s="56" t="s">
        <v>69</v>
      </c>
      <c r="F243" s="29"/>
      <c r="G243" s="29">
        <v>1</v>
      </c>
      <c r="H243" s="28">
        <v>2846</v>
      </c>
      <c r="I243" s="30"/>
      <c r="J243" s="109">
        <f>(Table3[[#This Row],[QTY]]*Table3[[#This Row],[Supplies Cost]])+Table3[[#This Row],[Tax/Fees]]</f>
        <v>2846</v>
      </c>
      <c r="K243" s="40"/>
      <c r="L243" s="154" t="s">
        <v>92</v>
      </c>
      <c r="M243" s="40" t="s">
        <v>34</v>
      </c>
      <c r="N243" s="31"/>
      <c r="O243" s="25">
        <v>21071901</v>
      </c>
      <c r="P243" s="31"/>
      <c r="Q243" s="31"/>
      <c r="R243" s="31"/>
      <c r="S243" s="31"/>
      <c r="T243" s="166" t="s">
        <v>197</v>
      </c>
      <c r="U243" s="31" t="str">
        <f>LEFT(Table3[[#This Row],[Stage]],FIND(".",Table3[[#This Row],[Stage]],1)-1)</f>
        <v>7</v>
      </c>
      <c r="V243" s="31" t="str">
        <f>VLOOKUP(ABS(Table3[[#This Row],[Type]]),[1]!Table9[#All],2)</f>
        <v>Carpentry</v>
      </c>
    </row>
    <row r="244" spans="1:22" x14ac:dyDescent="0.45">
      <c r="A244" s="24">
        <v>44397</v>
      </c>
      <c r="B244" s="25" t="s">
        <v>320</v>
      </c>
      <c r="C244" s="34">
        <v>3.6</v>
      </c>
      <c r="D244" s="1" t="s">
        <v>273</v>
      </c>
      <c r="E244" s="25" t="s">
        <v>119</v>
      </c>
      <c r="F244" s="28"/>
      <c r="G244" s="29">
        <v>1</v>
      </c>
      <c r="H244" s="28">
        <v>454.6</v>
      </c>
      <c r="I244" s="28"/>
      <c r="J244" s="109">
        <f>(Table3[[#This Row],[QTY]]*Table3[[#This Row],[Supplies Cost]])+Table3[[#This Row],[Tax/Fees]]</f>
        <v>454.6</v>
      </c>
      <c r="K244" s="40"/>
      <c r="L244" s="154" t="s">
        <v>33</v>
      </c>
      <c r="M244" s="40" t="s">
        <v>47</v>
      </c>
      <c r="N244" s="31"/>
      <c r="O244" s="25"/>
      <c r="P244" s="31"/>
      <c r="Q244" s="31" t="s">
        <v>120</v>
      </c>
      <c r="R244" s="31">
        <v>3.6110500000000001</v>
      </c>
      <c r="S244" s="31"/>
      <c r="T244" s="31" t="s">
        <v>274</v>
      </c>
      <c r="U244" s="31" t="str">
        <f>LEFT(Table3[[#This Row],[Stage]],FIND(".",Table3[[#This Row],[Stage]],1)-1)</f>
        <v>3</v>
      </c>
      <c r="V244" s="31" t="str">
        <f>VLOOKUP(ABS(Table3[[#This Row],[Type]]),[1]!Table9[#All],2)</f>
        <v>Masonary</v>
      </c>
    </row>
    <row r="245" spans="1:22" x14ac:dyDescent="0.45">
      <c r="A245" s="24">
        <v>44397</v>
      </c>
      <c r="B245" s="56" t="s">
        <v>321</v>
      </c>
      <c r="C245" s="57">
        <v>7.36</v>
      </c>
      <c r="D245" s="1" t="s">
        <v>177</v>
      </c>
      <c r="E245" s="56" t="s">
        <v>116</v>
      </c>
      <c r="F245" s="29"/>
      <c r="G245" s="29">
        <v>1</v>
      </c>
      <c r="H245" s="28">
        <v>564</v>
      </c>
      <c r="I245" s="30"/>
      <c r="J245" s="109">
        <f>(Table3[[#This Row],[QTY]]*Table3[[#This Row],[Supplies Cost]])+Table3[[#This Row],[Tax/Fees]]</f>
        <v>564</v>
      </c>
      <c r="K245" s="40"/>
      <c r="L245" s="154" t="s">
        <v>33</v>
      </c>
      <c r="M245" s="40" t="s">
        <v>77</v>
      </c>
      <c r="N245" s="31"/>
      <c r="O245" s="31"/>
      <c r="P245" s="31"/>
      <c r="Q245" s="31"/>
      <c r="R245" s="31">
        <v>7.3610800000000003</v>
      </c>
      <c r="S245" s="31"/>
      <c r="T245" s="31" t="s">
        <v>292</v>
      </c>
      <c r="U245" s="31" t="str">
        <f>LEFT(Table3[[#This Row],[Stage]],FIND(".",Table3[[#This Row],[Stage]],1)-1)</f>
        <v>7</v>
      </c>
      <c r="V245" s="31" t="str">
        <f>VLOOKUP(ABS(Table3[[#This Row],[Type]]),[1]!Table9[#All],2)</f>
        <v>Carpentry</v>
      </c>
    </row>
    <row r="246" spans="1:22" x14ac:dyDescent="0.45">
      <c r="A246" s="24">
        <v>44402</v>
      </c>
      <c r="B246" s="56" t="s">
        <v>322</v>
      </c>
      <c r="C246" s="57">
        <v>8.0399999999999991</v>
      </c>
      <c r="D246" s="152" t="s">
        <v>144</v>
      </c>
      <c r="E246" s="58" t="s">
        <v>104</v>
      </c>
      <c r="F246" s="28"/>
      <c r="G246" s="29">
        <v>1</v>
      </c>
      <c r="H246" s="28">
        <v>15.9</v>
      </c>
      <c r="I246" s="28"/>
      <c r="J246" s="109">
        <f>(Table3[[#This Row],[QTY]]*Table3[[#This Row],[Supplies Cost]])+Table3[[#This Row],[Tax/Fees]]</f>
        <v>15.9</v>
      </c>
      <c r="K246" s="40"/>
      <c r="L246" s="154" t="s">
        <v>33</v>
      </c>
      <c r="M246" s="40" t="s">
        <v>77</v>
      </c>
      <c r="N246" s="31"/>
      <c r="O246" s="31"/>
      <c r="P246" s="31"/>
      <c r="Q246" s="31"/>
      <c r="R246" s="31">
        <v>8.0411149999999996</v>
      </c>
      <c r="S246" s="31"/>
      <c r="T246" s="31" t="s">
        <v>274</v>
      </c>
      <c r="U246" s="31" t="str">
        <f>LEFT(Table3[[#This Row],[Stage]],FIND(".",Table3[[#This Row],[Stage]],1)-1)</f>
        <v>8</v>
      </c>
      <c r="V246" s="31" t="str">
        <f>VLOOKUP(ABS(Table3[[#This Row],[Type]]),[1]!Table9[#All],2)</f>
        <v>Administrative</v>
      </c>
    </row>
    <row r="247" spans="1:22" x14ac:dyDescent="0.45">
      <c r="A247" s="24">
        <v>44403</v>
      </c>
      <c r="B247" s="163" t="s">
        <v>323</v>
      </c>
      <c r="C247" s="57">
        <v>7.36</v>
      </c>
      <c r="D247" s="1" t="s">
        <v>177</v>
      </c>
      <c r="E247" s="56" t="s">
        <v>108</v>
      </c>
      <c r="F247" s="28"/>
      <c r="G247" s="29">
        <v>1</v>
      </c>
      <c r="H247" s="28">
        <v>1823.6</v>
      </c>
      <c r="I247" s="28"/>
      <c r="J247" s="109">
        <f>(Table3[[#This Row],[QTY]]*Table3[[#This Row],[Supplies Cost]])+Table3[[#This Row],[Tax/Fees]]</f>
        <v>1823.6</v>
      </c>
      <c r="K247" s="40"/>
      <c r="L247" s="154" t="s">
        <v>33</v>
      </c>
      <c r="M247" s="40" t="s">
        <v>47</v>
      </c>
      <c r="N247" s="31"/>
      <c r="O247" s="31"/>
      <c r="P247" s="31"/>
      <c r="Q247" s="31"/>
      <c r="R247" s="31">
        <v>7.3611250000000004</v>
      </c>
      <c r="S247" s="31"/>
      <c r="T247" s="31" t="s">
        <v>269</v>
      </c>
      <c r="U247" s="31" t="str">
        <f>LEFT(Table3[[#This Row],[Stage]],FIND(".",Table3[[#This Row],[Stage]],1)-1)</f>
        <v>7</v>
      </c>
      <c r="V247" s="31" t="str">
        <f>VLOOKUP(ABS(Table3[[#This Row],[Type]]),[1]!Table9[#All],2)</f>
        <v>Carpentry</v>
      </c>
    </row>
    <row r="248" spans="1:22" x14ac:dyDescent="0.45">
      <c r="A248" s="24">
        <v>44403</v>
      </c>
      <c r="B248" s="59" t="s">
        <v>324</v>
      </c>
      <c r="C248" s="34">
        <v>7.36</v>
      </c>
      <c r="D248" s="1" t="s">
        <v>177</v>
      </c>
      <c r="E248" s="25" t="s">
        <v>108</v>
      </c>
      <c r="F248" s="28"/>
      <c r="G248" s="29">
        <v>1</v>
      </c>
      <c r="H248" s="28">
        <v>619.23</v>
      </c>
      <c r="I248" s="28"/>
      <c r="J248" s="109">
        <f>(Table3[[#This Row],[QTY]]*Table3[[#This Row],[Supplies Cost]])+Table3[[#This Row],[Tax/Fees]]</f>
        <v>619.23</v>
      </c>
      <c r="K248" s="40"/>
      <c r="L248" s="154" t="s">
        <v>33</v>
      </c>
      <c r="M248" s="40" t="s">
        <v>47</v>
      </c>
      <c r="N248" s="31"/>
      <c r="O248" s="31"/>
      <c r="P248" s="31"/>
      <c r="Q248" s="31"/>
      <c r="R248" s="31">
        <v>7.3611300000000002</v>
      </c>
      <c r="S248" s="31"/>
      <c r="T248" s="31" t="s">
        <v>269</v>
      </c>
      <c r="U248" s="31" t="str">
        <f>LEFT(Table3[[#This Row],[Stage]],FIND(".",Table3[[#This Row],[Stage]],1)-1)</f>
        <v>7</v>
      </c>
      <c r="V248" s="31" t="str">
        <f>VLOOKUP(ABS(Table3[[#This Row],[Type]]),[1]!Table9[#All],2)</f>
        <v>Carpentry</v>
      </c>
    </row>
    <row r="249" spans="1:22" x14ac:dyDescent="0.45">
      <c r="A249" s="24">
        <v>44403</v>
      </c>
      <c r="B249" t="s">
        <v>238</v>
      </c>
      <c r="C249" s="94">
        <v>3.1</v>
      </c>
      <c r="D249" s="1" t="s">
        <v>213</v>
      </c>
      <c r="E249" s="56" t="s">
        <v>239</v>
      </c>
      <c r="F249" s="58"/>
      <c r="G249" s="126">
        <v>1</v>
      </c>
      <c r="H249" s="58">
        <v>700</v>
      </c>
      <c r="I249" s="58"/>
      <c r="J249" s="109">
        <f>(Table3[[#This Row],[QTY]]*Table3[[#This Row],[Supplies Cost]])+Table3[[#This Row],[Tax/Fees]]</f>
        <v>700</v>
      </c>
      <c r="K249" s="40"/>
      <c r="L249" s="154" t="s">
        <v>33</v>
      </c>
      <c r="M249" s="40" t="s">
        <v>47</v>
      </c>
      <c r="N249" s="40"/>
      <c r="O249" s="40"/>
      <c r="P249" s="40"/>
      <c r="Q249" s="40"/>
      <c r="R249" s="40">
        <v>3.1112000000000002</v>
      </c>
      <c r="S249" s="40"/>
      <c r="T249" s="31" t="s">
        <v>274</v>
      </c>
      <c r="U249" s="31" t="str">
        <f>LEFT(Table3[[#This Row],[Stage]],FIND(".",Table3[[#This Row],[Stage]],1)-1)</f>
        <v>3</v>
      </c>
      <c r="V249" s="31" t="str">
        <f>VLOOKUP(ABS(Table3[[#This Row],[Type]]),[1]!Table9[#All],2)</f>
        <v>Masonary</v>
      </c>
    </row>
    <row r="250" spans="1:22" x14ac:dyDescent="0.45">
      <c r="A250" s="24">
        <v>44404</v>
      </c>
      <c r="B250" t="s">
        <v>325</v>
      </c>
      <c r="C250" s="57">
        <v>8.01</v>
      </c>
      <c r="D250" s="40" t="s">
        <v>177</v>
      </c>
      <c r="E250" s="25" t="s">
        <v>325</v>
      </c>
      <c r="F250" s="28"/>
      <c r="G250" s="126">
        <v>1</v>
      </c>
      <c r="H250" s="28">
        <v>1664.55</v>
      </c>
      <c r="I250" s="28"/>
      <c r="J250" s="109">
        <f>(Table3[[#This Row],[QTY]]*Table3[[#This Row],[Supplies Cost]])+Table3[[#This Row],[Tax/Fees]]</f>
        <v>1664.55</v>
      </c>
      <c r="K250" s="40"/>
      <c r="L250" s="154" t="s">
        <v>33</v>
      </c>
      <c r="M250" s="40" t="s">
        <v>47</v>
      </c>
      <c r="N250" s="31"/>
      <c r="O250" s="31"/>
      <c r="P250" s="31"/>
      <c r="Q250" s="31"/>
      <c r="R250" s="31">
        <v>8.0111399999999993</v>
      </c>
      <c r="S250" s="31"/>
      <c r="T250" s="31" t="s">
        <v>60</v>
      </c>
      <c r="U250" s="31" t="str">
        <f>LEFT(Table3[[#This Row],[Stage]],FIND(".",Table3[[#This Row],[Stage]],1)-1)</f>
        <v>8</v>
      </c>
      <c r="V250" s="31" t="str">
        <f>VLOOKUP(ABS(Table3[[#This Row],[Type]]),[1]!Table9[#All],2)</f>
        <v>Administrative</v>
      </c>
    </row>
    <row r="251" spans="1:22" x14ac:dyDescent="0.45">
      <c r="A251" s="24">
        <v>44404</v>
      </c>
      <c r="B251" t="s">
        <v>183</v>
      </c>
      <c r="C251" s="57">
        <v>3.16</v>
      </c>
      <c r="D251" s="40" t="s">
        <v>177</v>
      </c>
      <c r="E251" s="25" t="s">
        <v>71</v>
      </c>
      <c r="F251" s="28"/>
      <c r="G251" s="126">
        <v>1</v>
      </c>
      <c r="H251" s="28">
        <v>651.83000000000004</v>
      </c>
      <c r="I251" s="28"/>
      <c r="J251" s="109">
        <f>(Table3[[#This Row],[QTY]]*Table3[[#This Row],[Supplies Cost]])+Table3[[#This Row],[Tax/Fees]]</f>
        <v>651.83000000000004</v>
      </c>
      <c r="K251" s="40"/>
      <c r="L251" s="154" t="s">
        <v>33</v>
      </c>
      <c r="M251" s="40" t="s">
        <v>47</v>
      </c>
      <c r="N251" s="31"/>
      <c r="O251" s="31"/>
      <c r="P251" s="31"/>
      <c r="Q251" s="31"/>
      <c r="R251" s="31">
        <v>3.1611349999999998</v>
      </c>
      <c r="S251" s="31"/>
      <c r="T251" s="31" t="s">
        <v>269</v>
      </c>
      <c r="U251" s="31" t="str">
        <f>LEFT(Table3[[#This Row],[Stage]],FIND(".",Table3[[#This Row],[Stage]],1)-1)</f>
        <v>3</v>
      </c>
      <c r="V251" s="31" t="str">
        <f>VLOOKUP(ABS(Table3[[#This Row],[Type]]),[1]!Table9[#All],2)</f>
        <v>Masonary</v>
      </c>
    </row>
    <row r="252" spans="1:22" x14ac:dyDescent="0.45">
      <c r="A252" s="24">
        <v>44406</v>
      </c>
      <c r="B252" s="56" t="s">
        <v>326</v>
      </c>
      <c r="C252" s="57">
        <v>3.46</v>
      </c>
      <c r="D252" s="40" t="s">
        <v>177</v>
      </c>
      <c r="E252" s="28" t="s">
        <v>108</v>
      </c>
      <c r="F252" s="28"/>
      <c r="G252" s="126">
        <v>1</v>
      </c>
      <c r="H252" s="28">
        <v>911.8</v>
      </c>
      <c r="I252" s="28"/>
      <c r="J252" s="109">
        <f>(Table3[[#This Row],[QTY]]*Table3[[#This Row],[Supplies Cost]])+Table3[[#This Row],[Tax/Fees]]</f>
        <v>911.8</v>
      </c>
      <c r="K252" s="40"/>
      <c r="L252" s="154" t="s">
        <v>33</v>
      </c>
      <c r="M252" s="40" t="s">
        <v>47</v>
      </c>
      <c r="N252" s="31"/>
      <c r="O252" s="31"/>
      <c r="P252" s="31"/>
      <c r="Q252" s="31"/>
      <c r="R252" s="31">
        <v>3.4611499999999999</v>
      </c>
      <c r="S252" s="31"/>
      <c r="T252" s="31" t="s">
        <v>269</v>
      </c>
      <c r="U252" s="31" t="str">
        <f>LEFT(Table3[[#This Row],[Stage]],FIND(".",Table3[[#This Row],[Stage]],1)-1)</f>
        <v>3</v>
      </c>
      <c r="V252" s="31" t="str">
        <f>VLOOKUP(ABS(Table3[[#This Row],[Type]]),[1]!Table9[#All],2)</f>
        <v>Masonary</v>
      </c>
    </row>
    <row r="253" spans="1:22" x14ac:dyDescent="0.45">
      <c r="A253" s="24">
        <v>44406</v>
      </c>
      <c r="B253" s="56" t="s">
        <v>327</v>
      </c>
      <c r="C253" s="57">
        <v>8.01</v>
      </c>
      <c r="D253" s="40" t="s">
        <v>199</v>
      </c>
      <c r="E253" s="28" t="s">
        <v>328</v>
      </c>
      <c r="F253" s="28"/>
      <c r="G253" s="126">
        <v>1</v>
      </c>
      <c r="H253" s="28">
        <v>900</v>
      </c>
      <c r="I253" s="28"/>
      <c r="J253" s="109">
        <f>(Table3[[#This Row],[QTY]]*Table3[[#This Row],[Supplies Cost]])+Table3[[#This Row],[Tax/Fees]]</f>
        <v>900</v>
      </c>
      <c r="K253" s="40"/>
      <c r="L253" s="154" t="s">
        <v>33</v>
      </c>
      <c r="M253" s="40" t="s">
        <v>47</v>
      </c>
      <c r="N253" s="31"/>
      <c r="O253" s="31"/>
      <c r="P253" s="31"/>
      <c r="Q253" s="31"/>
      <c r="R253" s="31">
        <v>8.0111450000000008</v>
      </c>
      <c r="S253" s="31"/>
      <c r="T253" s="31" t="s">
        <v>60</v>
      </c>
      <c r="U253" s="31" t="str">
        <f>LEFT(Table3[[#This Row],[Stage]],FIND(".",Table3[[#This Row],[Stage]],1)-1)</f>
        <v>8</v>
      </c>
      <c r="V253" s="31" t="str">
        <f>VLOOKUP(ABS(Table3[[#This Row],[Type]]),[1]!Table9[#All],2)</f>
        <v>Administrative</v>
      </c>
    </row>
    <row r="254" spans="1:22" x14ac:dyDescent="0.45">
      <c r="A254" s="24">
        <v>44414</v>
      </c>
      <c r="B254" t="s">
        <v>151</v>
      </c>
      <c r="C254" s="94">
        <v>8.0299999999999994</v>
      </c>
      <c r="D254" s="1" t="s">
        <v>144</v>
      </c>
      <c r="E254" s="58" t="s">
        <v>46</v>
      </c>
      <c r="F254" s="58"/>
      <c r="G254" s="126">
        <v>1</v>
      </c>
      <c r="H254" s="58">
        <v>35.200000000000003</v>
      </c>
      <c r="I254" s="28"/>
      <c r="J254" s="109">
        <f>(Table3[[#This Row],[QTY]]*Table3[[#This Row],[Supplies Cost]])+Table3[[#This Row],[Tax/Fees]]</f>
        <v>35.200000000000003</v>
      </c>
      <c r="K254" s="40"/>
      <c r="L254" s="154" t="s">
        <v>33</v>
      </c>
      <c r="M254" s="40" t="s">
        <v>77</v>
      </c>
      <c r="N254" s="31"/>
      <c r="O254" s="31"/>
      <c r="P254" s="31"/>
      <c r="Q254" s="31"/>
      <c r="R254" s="31">
        <v>8.03111</v>
      </c>
      <c r="S254" s="31"/>
      <c r="T254" s="31" t="s">
        <v>60</v>
      </c>
      <c r="U254" s="31" t="str">
        <f>LEFT(Table3[[#This Row],[Stage]],FIND(".",Table3[[#This Row],[Stage]],1)-1)</f>
        <v>8</v>
      </c>
      <c r="V254" s="31" t="str">
        <f>VLOOKUP(ABS(Table3[[#This Row],[Type]]),[1]!Table9[#All],2)</f>
        <v>Administrative</v>
      </c>
    </row>
    <row r="255" spans="1:22" x14ac:dyDescent="0.45">
      <c r="A255" s="24">
        <v>44417</v>
      </c>
      <c r="B255" s="56" t="s">
        <v>329</v>
      </c>
      <c r="C255" s="34">
        <v>3.8</v>
      </c>
      <c r="D255" s="27" t="s">
        <v>177</v>
      </c>
      <c r="E255" s="56" t="s">
        <v>67</v>
      </c>
      <c r="F255" s="28"/>
      <c r="G255" s="126">
        <v>1</v>
      </c>
      <c r="H255" s="28">
        <v>400</v>
      </c>
      <c r="I255" s="28"/>
      <c r="J255" s="109">
        <f>(Table3[[#This Row],[QTY]]*Table3[[#This Row],[Supplies Cost]])+Table3[[#This Row],[Tax/Fees]]</f>
        <v>400</v>
      </c>
      <c r="K255" s="40"/>
      <c r="L255" s="154" t="s">
        <v>33</v>
      </c>
      <c r="M255" s="40" t="s">
        <v>47</v>
      </c>
      <c r="N255" s="31"/>
      <c r="O255" s="31" t="s">
        <v>330</v>
      </c>
      <c r="P255" s="31"/>
      <c r="Q255" s="31"/>
      <c r="R255" s="31">
        <v>3.8117000000000001</v>
      </c>
      <c r="S255" s="31"/>
      <c r="T255" s="31" t="s">
        <v>236</v>
      </c>
      <c r="U255" s="31" t="str">
        <f>LEFT(Table3[[#This Row],[Stage]],FIND(".",Table3[[#This Row],[Stage]],1)-1)</f>
        <v>3</v>
      </c>
      <c r="V255" s="31" t="str">
        <f>VLOOKUP(ABS(Table3[[#This Row],[Type]]),[1]!Table9[#All],2)</f>
        <v>Masonary</v>
      </c>
    </row>
    <row r="256" spans="1:22" x14ac:dyDescent="0.45">
      <c r="A256" s="24">
        <v>44417</v>
      </c>
      <c r="B256" s="56" t="s">
        <v>331</v>
      </c>
      <c r="C256" s="34">
        <v>3.8</v>
      </c>
      <c r="D256" s="152" t="s">
        <v>177</v>
      </c>
      <c r="E256" s="56" t="s">
        <v>67</v>
      </c>
      <c r="F256" s="28"/>
      <c r="G256" s="126">
        <v>1</v>
      </c>
      <c r="H256" s="28">
        <v>50</v>
      </c>
      <c r="I256" s="28"/>
      <c r="J256" s="109">
        <f>(Table3[[#This Row],[QTY]]*Table3[[#This Row],[Supplies Cost]])+Table3[[#This Row],[Tax/Fees]]</f>
        <v>50</v>
      </c>
      <c r="K256" s="40">
        <v>20450</v>
      </c>
      <c r="L256" s="154" t="s">
        <v>33</v>
      </c>
      <c r="M256" s="40" t="s">
        <v>47</v>
      </c>
      <c r="N256" s="31"/>
      <c r="O256" s="1" t="s">
        <v>330</v>
      </c>
      <c r="P256" s="31"/>
      <c r="Q256" s="31"/>
      <c r="R256" s="31">
        <v>3.81175</v>
      </c>
      <c r="S256" s="31"/>
      <c r="T256" s="31" t="s">
        <v>60</v>
      </c>
      <c r="U256" s="31" t="str">
        <f>LEFT(Table3[[#This Row],[Stage]],FIND(".",Table3[[#This Row],[Stage]],1)-1)</f>
        <v>3</v>
      </c>
      <c r="V256" s="31" t="str">
        <f>VLOOKUP(ABS(Table3[[#This Row],[Type]]),[1]!Table9[#All],2)</f>
        <v>Masonary</v>
      </c>
    </row>
    <row r="257" spans="1:22" x14ac:dyDescent="0.45">
      <c r="A257" s="24">
        <v>44417</v>
      </c>
      <c r="B257" s="56" t="s">
        <v>183</v>
      </c>
      <c r="C257" s="34">
        <v>3.16</v>
      </c>
      <c r="D257" s="1" t="s">
        <v>177</v>
      </c>
      <c r="E257" s="56" t="s">
        <v>71</v>
      </c>
      <c r="F257" s="28"/>
      <c r="G257" s="126">
        <v>1</v>
      </c>
      <c r="H257" s="28">
        <v>651.83000000000004</v>
      </c>
      <c r="I257" s="28"/>
      <c r="J257" s="109">
        <f>(Table3[[#This Row],[QTY]]*Table3[[#This Row],[Supplies Cost]])+Table3[[#This Row],[Tax/Fees]]</f>
        <v>651.83000000000004</v>
      </c>
      <c r="K257" s="40"/>
      <c r="L257" s="154" t="s">
        <v>33</v>
      </c>
      <c r="M257" s="40" t="s">
        <v>47</v>
      </c>
      <c r="N257" s="31"/>
      <c r="O257" s="1"/>
      <c r="P257" s="31"/>
      <c r="Q257" s="31" t="s">
        <v>102</v>
      </c>
      <c r="R257" s="31">
        <v>3.1611549999999999</v>
      </c>
      <c r="S257" s="31"/>
      <c r="T257" s="31" t="s">
        <v>236</v>
      </c>
      <c r="U257" s="31" t="str">
        <f>LEFT(Table3[[#This Row],[Stage]],FIND(".",Table3[[#This Row],[Stage]],1)-1)</f>
        <v>3</v>
      </c>
      <c r="V257" s="31" t="str">
        <f>VLOOKUP(ABS(Table3[[#This Row],[Type]]),[1]!Table9[#All],2)</f>
        <v>Masonary</v>
      </c>
    </row>
    <row r="258" spans="1:22" x14ac:dyDescent="0.4">
      <c r="A258" s="24">
        <v>44417</v>
      </c>
      <c r="B258" s="167" t="s">
        <v>332</v>
      </c>
      <c r="C258" s="57">
        <v>3.8</v>
      </c>
      <c r="D258" s="90" t="s">
        <v>199</v>
      </c>
      <c r="E258" s="56" t="s">
        <v>67</v>
      </c>
      <c r="F258" s="28"/>
      <c r="G258" s="149">
        <v>1</v>
      </c>
      <c r="H258" s="28">
        <v>10000</v>
      </c>
      <c r="I258" s="28"/>
      <c r="J258" s="109">
        <f>(Table3[[#This Row],[QTY]]*Table3[[#This Row],[Supplies Cost]])+Table3[[#This Row],[Tax/Fees]]</f>
        <v>10000</v>
      </c>
      <c r="K258" s="40"/>
      <c r="L258" s="154" t="s">
        <v>33</v>
      </c>
      <c r="M258" s="40" t="s">
        <v>34</v>
      </c>
      <c r="N258" s="31"/>
      <c r="O258" s="31" t="s">
        <v>330</v>
      </c>
      <c r="P258" s="31"/>
      <c r="Q258" s="31"/>
      <c r="R258" s="31"/>
      <c r="S258" s="31"/>
      <c r="T258" s="31" t="s">
        <v>269</v>
      </c>
      <c r="U258" s="31" t="str">
        <f>LEFT(Table3[[#This Row],[Stage]],FIND(".",Table3[[#This Row],[Stage]],1)-1)</f>
        <v>3</v>
      </c>
      <c r="V258" s="31" t="str">
        <f>VLOOKUP(ABS(Table3[[#This Row],[Type]]),[1]!Table9[#All],2)</f>
        <v>Masonary</v>
      </c>
    </row>
    <row r="259" spans="1:22" x14ac:dyDescent="0.4">
      <c r="A259" s="24">
        <v>44417</v>
      </c>
      <c r="B259" s="168" t="s">
        <v>332</v>
      </c>
      <c r="C259" s="34">
        <v>3.8</v>
      </c>
      <c r="D259" s="90" t="s">
        <v>199</v>
      </c>
      <c r="E259" s="25" t="s">
        <v>67</v>
      </c>
      <c r="F259" s="28"/>
      <c r="G259" s="149">
        <v>1</v>
      </c>
      <c r="H259" s="28">
        <v>10000</v>
      </c>
      <c r="I259" s="28"/>
      <c r="J259" s="109">
        <f>(Table3[[#This Row],[QTY]]*Table3[[#This Row],[Supplies Cost]])+Table3[[#This Row],[Tax/Fees]]</f>
        <v>10000</v>
      </c>
      <c r="K259" s="40">
        <v>20000</v>
      </c>
      <c r="L259" s="154" t="s">
        <v>33</v>
      </c>
      <c r="M259" s="40" t="s">
        <v>34</v>
      </c>
      <c r="N259" s="31"/>
      <c r="O259" s="31" t="s">
        <v>330</v>
      </c>
      <c r="P259" s="31"/>
      <c r="Q259" s="31"/>
      <c r="R259" s="31">
        <v>3.8116500000000002</v>
      </c>
      <c r="S259" s="31"/>
      <c r="T259" s="31" t="s">
        <v>236</v>
      </c>
      <c r="U259" s="31" t="str">
        <f>LEFT(Table3[[#This Row],[Stage]],FIND(".",Table3[[#This Row],[Stage]],1)-1)</f>
        <v>3</v>
      </c>
      <c r="V259" s="31" t="str">
        <f>VLOOKUP(ABS(Table3[[#This Row],[Type]]),[1]!Table9[#All],2)</f>
        <v>Masonary</v>
      </c>
    </row>
    <row r="260" spans="1:22" x14ac:dyDescent="0.45">
      <c r="A260" s="24">
        <v>44418</v>
      </c>
      <c r="B260" t="s">
        <v>333</v>
      </c>
      <c r="C260" s="57">
        <v>7.36</v>
      </c>
      <c r="D260" s="40" t="s">
        <v>177</v>
      </c>
      <c r="E260" s="56" t="s">
        <v>116</v>
      </c>
      <c r="F260" s="28"/>
      <c r="G260" s="126">
        <v>1</v>
      </c>
      <c r="H260" s="28">
        <v>105.75</v>
      </c>
      <c r="I260" s="28"/>
      <c r="J260" s="109">
        <f>(Table3[[#This Row],[QTY]]*Table3[[#This Row],[Supplies Cost]])+Table3[[#This Row],[Tax/Fees]]</f>
        <v>105.75</v>
      </c>
      <c r="K260" s="40"/>
      <c r="L260" s="154" t="s">
        <v>33</v>
      </c>
      <c r="M260" s="31" t="s">
        <v>77</v>
      </c>
      <c r="N260" s="31"/>
      <c r="O260" s="31"/>
      <c r="P260" s="31"/>
      <c r="Q260" s="31"/>
      <c r="R260" s="31">
        <v>7.3611599999999999</v>
      </c>
      <c r="S260" s="31"/>
      <c r="T260" s="31" t="s">
        <v>292</v>
      </c>
      <c r="U260" s="31" t="str">
        <f>LEFT(Table3[[#This Row],[Stage]],FIND(".",Table3[[#This Row],[Stage]],1)-1)</f>
        <v>7</v>
      </c>
      <c r="V260" s="31" t="str">
        <f>VLOOKUP(ABS(Table3[[#This Row],[Type]]),[1]!Table9[#All],2)</f>
        <v>Carpentry</v>
      </c>
    </row>
    <row r="261" spans="1:22" x14ac:dyDescent="0.45">
      <c r="A261" s="24">
        <v>44419</v>
      </c>
      <c r="B261" s="25" t="s">
        <v>291</v>
      </c>
      <c r="C261" s="57">
        <v>7.36</v>
      </c>
      <c r="D261" s="40" t="s">
        <v>177</v>
      </c>
      <c r="E261" s="56" t="s">
        <v>116</v>
      </c>
      <c r="F261" s="28"/>
      <c r="G261" s="126">
        <v>1</v>
      </c>
      <c r="H261" s="28">
        <v>246.75</v>
      </c>
      <c r="I261" s="28"/>
      <c r="J261" s="109">
        <f>(Table3[[#This Row],[QTY]]*Table3[[#This Row],[Supplies Cost]])+Table3[[#This Row],[Tax/Fees]]</f>
        <v>246.75</v>
      </c>
      <c r="K261" s="31"/>
      <c r="L261" s="33" t="s">
        <v>33</v>
      </c>
      <c r="M261" s="31" t="s">
        <v>77</v>
      </c>
      <c r="N261" s="31"/>
      <c r="O261" s="31"/>
      <c r="P261" s="31"/>
      <c r="Q261" s="31"/>
      <c r="R261" s="31">
        <v>7.3611800000000001</v>
      </c>
      <c r="S261" s="31"/>
      <c r="T261" s="31" t="s">
        <v>292</v>
      </c>
      <c r="U261" s="32" t="str">
        <f>LEFT(Table3[[#This Row],[Stage]],FIND(".",Table3[[#This Row],[Stage]],1)-1)</f>
        <v>7</v>
      </c>
      <c r="V261" s="31" t="str">
        <f>VLOOKUP(ABS(Table3[[#This Row],[Type]]),[1]!Table9[#All],2)</f>
        <v>Carpentry</v>
      </c>
    </row>
    <row r="262" spans="1:22" x14ac:dyDescent="0.45">
      <c r="A262" s="24">
        <v>44421</v>
      </c>
      <c r="B262" s="56" t="s">
        <v>146</v>
      </c>
      <c r="C262" s="57">
        <v>10.38</v>
      </c>
      <c r="D262" s="40" t="s">
        <v>177</v>
      </c>
      <c r="E262" t="s">
        <v>71</v>
      </c>
      <c r="F262" s="28"/>
      <c r="G262" s="126">
        <v>1</v>
      </c>
      <c r="H262" s="28">
        <f>1241.31-H261</f>
        <v>994.56</v>
      </c>
      <c r="I262" s="28"/>
      <c r="J262" s="109">
        <f>(Table3[[#This Row],[QTY]]*Table3[[#This Row],[Supplies Cost]])+Table3[[#This Row],[Tax/Fees]]</f>
        <v>994.56</v>
      </c>
      <c r="K262" s="164">
        <v>1241.31</v>
      </c>
      <c r="L262" s="154" t="s">
        <v>33</v>
      </c>
      <c r="M262" s="40" t="s">
        <v>47</v>
      </c>
      <c r="N262" s="31"/>
      <c r="O262" s="25" t="s">
        <v>334</v>
      </c>
      <c r="P262" s="31"/>
      <c r="Q262" s="31"/>
      <c r="R262" s="31">
        <v>10.381195</v>
      </c>
      <c r="S262" s="31"/>
      <c r="T262" s="31" t="s">
        <v>50</v>
      </c>
      <c r="U262" s="31" t="str">
        <f>LEFT(Table3[[#This Row],[Stage]],FIND(".",Table3[[#This Row],[Stage]],1)-1)</f>
        <v>10</v>
      </c>
      <c r="V262" s="31" t="str">
        <f>VLOOKUP(ABS(Table3[[#This Row],[Type]]),[1]!Table9[#All],2)</f>
        <v>Plumbing</v>
      </c>
    </row>
    <row r="263" spans="1:22" x14ac:dyDescent="0.45">
      <c r="A263" s="24">
        <v>44421</v>
      </c>
      <c r="B263" s="56" t="s">
        <v>102</v>
      </c>
      <c r="C263" s="57">
        <v>3.16</v>
      </c>
      <c r="D263" s="40" t="s">
        <v>177</v>
      </c>
      <c r="E263" s="56" t="s">
        <v>71</v>
      </c>
      <c r="F263" s="28"/>
      <c r="G263" s="126">
        <v>1</v>
      </c>
      <c r="H263" s="28">
        <v>651.83000000000004</v>
      </c>
      <c r="I263" s="28"/>
      <c r="J263" s="109">
        <f>(Table3[[#This Row],[QTY]]*Table3[[#This Row],[Supplies Cost]])+Table3[[#This Row],[Tax/Fees]]</f>
        <v>651.83000000000004</v>
      </c>
      <c r="K263" s="40"/>
      <c r="L263" s="154" t="s">
        <v>92</v>
      </c>
      <c r="M263" s="40" t="s">
        <v>47</v>
      </c>
      <c r="N263" s="31"/>
      <c r="O263" s="25"/>
      <c r="P263" s="31"/>
      <c r="Q263" s="31"/>
      <c r="R263" s="31">
        <v>3.1611899999999999</v>
      </c>
      <c r="S263" s="31"/>
      <c r="T263" s="31" t="s">
        <v>236</v>
      </c>
      <c r="U263" s="31" t="str">
        <f>LEFT(Table3[[#This Row],[Stage]],FIND(".",Table3[[#This Row],[Stage]],1)-1)</f>
        <v>3</v>
      </c>
      <c r="V263" s="31" t="str">
        <f>VLOOKUP(ABS(Table3[[#This Row],[Type]]),[1]!Table9[#All],2)</f>
        <v>Masonary</v>
      </c>
    </row>
    <row r="264" spans="1:22" x14ac:dyDescent="0.45">
      <c r="A264" s="24">
        <v>44421</v>
      </c>
      <c r="B264" s="56" t="s">
        <v>335</v>
      </c>
      <c r="C264" s="127">
        <v>3.1</v>
      </c>
      <c r="D264" s="40" t="s">
        <v>213</v>
      </c>
      <c r="E264" s="132" t="s">
        <v>239</v>
      </c>
      <c r="F264" s="28"/>
      <c r="G264" s="126">
        <v>1</v>
      </c>
      <c r="H264" s="28">
        <v>1233.75</v>
      </c>
      <c r="I264" s="28"/>
      <c r="J264" s="109">
        <f>(Table3[[#This Row],[QTY]]*Table3[[#This Row],[Supplies Cost]])+Table3[[#This Row],[Tax/Fees]]</f>
        <v>1233.75</v>
      </c>
      <c r="K264" s="40"/>
      <c r="L264" s="154" t="s">
        <v>33</v>
      </c>
      <c r="M264" s="40" t="s">
        <v>47</v>
      </c>
      <c r="N264" s="31"/>
      <c r="O264" t="s">
        <v>334</v>
      </c>
      <c r="P264" s="31"/>
      <c r="Q264" s="31"/>
      <c r="R264" s="31">
        <v>7.3611849999999999</v>
      </c>
      <c r="S264" s="31"/>
      <c r="T264" s="31" t="s">
        <v>236</v>
      </c>
      <c r="U264" s="31" t="str">
        <f>LEFT(Table3[[#This Row],[Stage]],FIND(".",Table3[[#This Row],[Stage]],1)-1)</f>
        <v>3</v>
      </c>
      <c r="V264" s="31" t="str">
        <f>VLOOKUP(ABS(Table3[[#This Row],[Type]]),[1]!Table9[#All],2)</f>
        <v>Masonary</v>
      </c>
    </row>
    <row r="265" spans="1:22" x14ac:dyDescent="0.45">
      <c r="A265" s="24">
        <v>44424</v>
      </c>
      <c r="B265" s="56" t="s">
        <v>336</v>
      </c>
      <c r="C265" s="57">
        <v>8.0399999999999991</v>
      </c>
      <c r="D265" s="90" t="s">
        <v>279</v>
      </c>
      <c r="E265" s="56" t="s">
        <v>104</v>
      </c>
      <c r="F265" s="28"/>
      <c r="G265" s="126">
        <v>1</v>
      </c>
      <c r="H265" s="28">
        <v>16.5</v>
      </c>
      <c r="I265" s="28"/>
      <c r="J265" s="109">
        <f>(Table3[[#This Row],[QTY]]*Table3[[#This Row],[Supplies Cost]])+Table3[[#This Row],[Tax/Fees]]</f>
        <v>16.5</v>
      </c>
      <c r="K265" s="40"/>
      <c r="L265" s="154" t="s">
        <v>33</v>
      </c>
      <c r="M265" s="40" t="s">
        <v>77</v>
      </c>
      <c r="N265" s="31"/>
      <c r="O265" s="31"/>
      <c r="P265" s="31"/>
      <c r="Q265" s="31"/>
      <c r="R265" s="31">
        <v>8.0412549999999996</v>
      </c>
      <c r="S265" s="31"/>
      <c r="T265" s="31" t="s">
        <v>60</v>
      </c>
      <c r="U265" s="31" t="str">
        <f>LEFT(Table3[[#This Row],[Stage]],FIND(".",Table3[[#This Row],[Stage]],1)-1)</f>
        <v>8</v>
      </c>
      <c r="V265" s="31" t="str">
        <f>VLOOKUP(ABS(Table3[[#This Row],[Type]]),[1]!Table9[#All],2)</f>
        <v>Administrative</v>
      </c>
    </row>
    <row r="266" spans="1:22" x14ac:dyDescent="0.45">
      <c r="A266" s="24">
        <v>44424</v>
      </c>
      <c r="B266" s="56" t="s">
        <v>337</v>
      </c>
      <c r="C266" s="34">
        <v>7.5</v>
      </c>
      <c r="D266" s="90" t="s">
        <v>279</v>
      </c>
      <c r="E266" s="56" t="s">
        <v>219</v>
      </c>
      <c r="F266" s="28"/>
      <c r="G266" s="126">
        <v>1</v>
      </c>
      <c r="H266" s="28">
        <v>229.99</v>
      </c>
      <c r="I266" s="28"/>
      <c r="J266" s="109">
        <f>(Table3[[#This Row],[QTY]]*Table3[[#This Row],[Supplies Cost]])+Table3[[#This Row],[Tax/Fees]]</f>
        <v>229.99</v>
      </c>
      <c r="K266" s="40"/>
      <c r="L266" s="154" t="s">
        <v>33</v>
      </c>
      <c r="M266" s="31" t="s">
        <v>47</v>
      </c>
      <c r="N266" s="31"/>
      <c r="O266" s="31"/>
      <c r="P266" s="31"/>
      <c r="Q266" s="31"/>
      <c r="R266" s="31">
        <v>7.5119999999999996</v>
      </c>
      <c r="S266" s="31"/>
      <c r="T266" s="31" t="s">
        <v>280</v>
      </c>
      <c r="U266" s="31" t="str">
        <f>LEFT(Table3[[#This Row],[Stage]],FIND(".",Table3[[#This Row],[Stage]],1)-1)</f>
        <v>7</v>
      </c>
      <c r="V266" s="31" t="str">
        <f>VLOOKUP(ABS(Table3[[#This Row],[Type]]),[1]!Table9[#All],2)</f>
        <v>Carpentry</v>
      </c>
    </row>
    <row r="267" spans="1:22" x14ac:dyDescent="0.45">
      <c r="A267" s="24">
        <v>44426</v>
      </c>
      <c r="B267" s="56" t="s">
        <v>338</v>
      </c>
      <c r="C267" s="34">
        <v>7.4</v>
      </c>
      <c r="D267" s="90" t="s">
        <v>279</v>
      </c>
      <c r="E267" s="56" t="s">
        <v>69</v>
      </c>
      <c r="F267" s="28"/>
      <c r="G267" s="126">
        <v>1</v>
      </c>
      <c r="H267" s="28">
        <v>4567.5</v>
      </c>
      <c r="I267" s="28"/>
      <c r="J267" s="109">
        <f>(Table3[[#This Row],[QTY]]*Table3[[#This Row],[Supplies Cost]])+Table3[[#This Row],[Tax/Fees]]</f>
        <v>4567.5</v>
      </c>
      <c r="K267" s="40"/>
      <c r="L267" s="154" t="s">
        <v>33</v>
      </c>
      <c r="M267" s="40" t="s">
        <v>34</v>
      </c>
      <c r="N267" s="31"/>
      <c r="O267" s="25">
        <v>21071901</v>
      </c>
      <c r="P267" s="31"/>
      <c r="Q267" s="31"/>
      <c r="R267" s="31">
        <v>7.4120999999999997</v>
      </c>
      <c r="S267" s="31"/>
      <c r="T267" s="31" t="s">
        <v>302</v>
      </c>
      <c r="U267" s="31" t="str">
        <f>LEFT(Table3[[#This Row],[Stage]],FIND(".",Table3[[#This Row],[Stage]],1)-1)</f>
        <v>7</v>
      </c>
      <c r="V267" s="31" t="str">
        <f>VLOOKUP(ABS(Table3[[#This Row],[Type]]),[1]!Table9[#All],2)</f>
        <v>Carpentry</v>
      </c>
    </row>
    <row r="268" spans="1:22" x14ac:dyDescent="0.45">
      <c r="A268" s="24">
        <v>44426</v>
      </c>
      <c r="B268" s="56" t="s">
        <v>339</v>
      </c>
      <c r="C268" s="57">
        <v>3.16</v>
      </c>
      <c r="D268" s="90" t="s">
        <v>279</v>
      </c>
      <c r="E268" s="56" t="s">
        <v>71</v>
      </c>
      <c r="F268" s="28"/>
      <c r="G268" s="126">
        <v>1</v>
      </c>
      <c r="H268" s="28">
        <v>651.83000000000004</v>
      </c>
      <c r="I268" s="28"/>
      <c r="J268" s="109">
        <f>(Table3[[#This Row],[QTY]]*Table3[[#This Row],[Supplies Cost]])+Table3[[#This Row],[Tax/Fees]]</f>
        <v>651.83000000000004</v>
      </c>
      <c r="K268" s="40"/>
      <c r="L268" s="154" t="s">
        <v>33</v>
      </c>
      <c r="M268" s="40" t="s">
        <v>47</v>
      </c>
      <c r="N268" s="31"/>
      <c r="O268" s="25" t="s">
        <v>340</v>
      </c>
      <c r="P268" s="31"/>
      <c r="Q268" s="31"/>
      <c r="R268" s="31">
        <v>3.1612049999999998</v>
      </c>
      <c r="S268" s="31"/>
      <c r="T268" s="31" t="s">
        <v>280</v>
      </c>
      <c r="U268" s="31" t="str">
        <f>LEFT(Table3[[#This Row],[Stage]],FIND(".",Table3[[#This Row],[Stage]],1)-1)</f>
        <v>3</v>
      </c>
      <c r="V268" s="31" t="str">
        <f>VLOOKUP(ABS(Table3[[#This Row],[Type]]),[1]!Table9[#All],2)</f>
        <v>Masonary</v>
      </c>
    </row>
    <row r="269" spans="1:22" x14ac:dyDescent="0.45">
      <c r="A269" s="24">
        <v>44427</v>
      </c>
      <c r="B269" s="56" t="s">
        <v>126</v>
      </c>
      <c r="C269" s="57">
        <v>8.0399999999999991</v>
      </c>
      <c r="D269" s="90" t="s">
        <v>45</v>
      </c>
      <c r="E269" s="56" t="s">
        <v>127</v>
      </c>
      <c r="F269" s="125"/>
      <c r="G269" s="126">
        <v>1</v>
      </c>
      <c r="H269" s="28">
        <v>305.5</v>
      </c>
      <c r="I269" s="30"/>
      <c r="J269" s="109">
        <f>(Table3[[#This Row],[QTY]]*Table3[[#This Row],[Supplies Cost]])+Table3[[#This Row],[Tax/Fees]]</f>
        <v>305.5</v>
      </c>
      <c r="K269" s="164"/>
      <c r="L269" s="154" t="s">
        <v>33</v>
      </c>
      <c r="M269" s="40" t="s">
        <v>77</v>
      </c>
      <c r="N269" s="31"/>
      <c r="O269" s="31"/>
      <c r="P269" s="31"/>
      <c r="Q269" s="31"/>
      <c r="R269" s="31">
        <v>8.0412999999999997</v>
      </c>
      <c r="S269" s="31"/>
      <c r="T269" s="31" t="s">
        <v>129</v>
      </c>
      <c r="U269" s="31" t="str">
        <f>LEFT(Table3[[#This Row],[Stage]],FIND(".",Table3[[#This Row],[Stage]],1)-1)</f>
        <v>8</v>
      </c>
      <c r="V269" s="31" t="str">
        <f>VLOOKUP(ABS(Table3[[#This Row],[Type]]),[1]!Table9[#All],2)</f>
        <v>Administrative</v>
      </c>
    </row>
    <row r="270" spans="1:22" x14ac:dyDescent="0.45">
      <c r="A270" s="24">
        <v>44427</v>
      </c>
      <c r="B270" s="56" t="s">
        <v>341</v>
      </c>
      <c r="C270" s="57">
        <v>3.8</v>
      </c>
      <c r="D270" s="90" t="s">
        <v>177</v>
      </c>
      <c r="E270" s="56" t="s">
        <v>67</v>
      </c>
      <c r="F270" s="28"/>
      <c r="G270" s="126">
        <v>1</v>
      </c>
      <c r="H270" s="28">
        <v>375</v>
      </c>
      <c r="I270" s="28"/>
      <c r="J270" s="109">
        <f>(Table3[[#This Row],[QTY]]*Table3[[#This Row],[Supplies Cost]])+Table3[[#This Row],[Tax/Fees]]</f>
        <v>375</v>
      </c>
      <c r="K270" s="40"/>
      <c r="L270" s="154" t="s">
        <v>33</v>
      </c>
      <c r="M270" s="40" t="s">
        <v>47</v>
      </c>
      <c r="N270" s="31"/>
      <c r="O270" s="1"/>
      <c r="P270" s="31"/>
      <c r="Q270" s="31"/>
      <c r="R270" s="31">
        <v>3.8140000000000001</v>
      </c>
      <c r="S270" s="31"/>
      <c r="T270" s="31" t="s">
        <v>269</v>
      </c>
      <c r="U270" s="31" t="str">
        <f>LEFT(Table3[[#This Row],[Stage]],FIND(".",Table3[[#This Row],[Stage]],1)-1)</f>
        <v>3</v>
      </c>
      <c r="V270" s="31" t="str">
        <f>VLOOKUP(ABS(Table3[[#This Row],[Type]]),[1]!Table9[#All],2)</f>
        <v>Masonary</v>
      </c>
    </row>
    <row r="271" spans="1:22" x14ac:dyDescent="0.45">
      <c r="A271" s="24">
        <v>44427</v>
      </c>
      <c r="B271" s="56" t="s">
        <v>342</v>
      </c>
      <c r="C271" s="57">
        <v>10.38</v>
      </c>
      <c r="D271" s="90" t="s">
        <v>177</v>
      </c>
      <c r="E271" s="56" t="s">
        <v>71</v>
      </c>
      <c r="F271" s="28"/>
      <c r="G271" s="126">
        <v>1</v>
      </c>
      <c r="H271" s="28">
        <f>2425.56/2</f>
        <v>1212.78</v>
      </c>
      <c r="I271" s="28"/>
      <c r="J271" s="109">
        <f>(Table3[[#This Row],[QTY]]*Table3[[#This Row],[Supplies Cost]])+Table3[[#This Row],[Tax/Fees]]</f>
        <v>1212.78</v>
      </c>
      <c r="K271" s="40"/>
      <c r="L271" s="154" t="s">
        <v>92</v>
      </c>
      <c r="M271" s="40" t="s">
        <v>47</v>
      </c>
      <c r="N271" s="31"/>
      <c r="O271" t="s">
        <v>343</v>
      </c>
      <c r="P271" s="31"/>
      <c r="Q271" s="31"/>
      <c r="R271" s="31"/>
      <c r="S271" s="31"/>
      <c r="T271" s="31" t="s">
        <v>269</v>
      </c>
      <c r="U271" s="31" t="str">
        <f>LEFT(Table3[[#This Row],[Stage]],FIND(".",Table3[[#This Row],[Stage]],1)-1)</f>
        <v>10</v>
      </c>
      <c r="V271" s="31" t="str">
        <f>VLOOKUP(ABS(Table3[[#This Row],[Type]]),[1]!Table9[#All],2)</f>
        <v>Plumbing</v>
      </c>
    </row>
    <row r="272" spans="1:22" x14ac:dyDescent="0.45">
      <c r="A272" s="24">
        <v>44427</v>
      </c>
      <c r="B272" s="56" t="s">
        <v>344</v>
      </c>
      <c r="C272" s="57">
        <v>13.38</v>
      </c>
      <c r="D272" s="90" t="s">
        <v>177</v>
      </c>
      <c r="E272" s="56" t="s">
        <v>71</v>
      </c>
      <c r="F272" s="28"/>
      <c r="G272" s="126">
        <v>1</v>
      </c>
      <c r="H272" s="28">
        <f>2425.56/2</f>
        <v>1212.78</v>
      </c>
      <c r="I272" s="28"/>
      <c r="J272" s="109">
        <f>(Table3[[#This Row],[QTY]]*Table3[[#This Row],[Supplies Cost]])+Table3[[#This Row],[Tax/Fees]]</f>
        <v>1212.78</v>
      </c>
      <c r="K272" s="164">
        <v>2425.56</v>
      </c>
      <c r="L272" s="154" t="s">
        <v>33</v>
      </c>
      <c r="M272" s="40" t="s">
        <v>47</v>
      </c>
      <c r="N272" s="31"/>
      <c r="O272" t="s">
        <v>343</v>
      </c>
      <c r="P272" s="31"/>
      <c r="Q272" s="31"/>
      <c r="R272" s="31">
        <v>13.38123</v>
      </c>
      <c r="S272" s="31"/>
      <c r="T272" s="31" t="s">
        <v>269</v>
      </c>
      <c r="U272" s="31" t="str">
        <f>LEFT(Table3[[#This Row],[Stage]],FIND(".",Table3[[#This Row],[Stage]],1)-1)</f>
        <v>13</v>
      </c>
      <c r="V272" s="31" t="str">
        <f>VLOOKUP(ABS(Table3[[#This Row],[Type]]),[1]!Table9[#All],2)</f>
        <v>Electrical</v>
      </c>
    </row>
    <row r="273" spans="1:22" x14ac:dyDescent="0.45">
      <c r="A273" s="24">
        <v>44427</v>
      </c>
      <c r="B273" t="s">
        <v>345</v>
      </c>
      <c r="C273" s="57">
        <v>3.65</v>
      </c>
      <c r="D273" s="90" t="s">
        <v>279</v>
      </c>
      <c r="E273" s="56" t="s">
        <v>82</v>
      </c>
      <c r="F273" s="28"/>
      <c r="G273" s="126">
        <v>1</v>
      </c>
      <c r="H273" s="28">
        <v>1051.6400000000001</v>
      </c>
      <c r="I273" s="28"/>
      <c r="J273" s="109">
        <f>(Table3[[#This Row],[QTY]]*Table3[[#This Row],[Supplies Cost]])+Table3[[#This Row],[Tax/Fees]]</f>
        <v>1051.6400000000001</v>
      </c>
      <c r="K273" s="40"/>
      <c r="L273" s="154" t="s">
        <v>33</v>
      </c>
      <c r="M273" s="40" t="s">
        <v>47</v>
      </c>
      <c r="N273" s="31"/>
      <c r="O273" s="1"/>
      <c r="P273" s="31"/>
      <c r="Q273" s="31"/>
      <c r="R273" s="31">
        <v>3.6512199999999999</v>
      </c>
      <c r="S273" s="31"/>
      <c r="T273" s="31" t="s">
        <v>280</v>
      </c>
      <c r="U273" s="31" t="str">
        <f>LEFT(Table3[[#This Row],[Stage]],FIND(".",Table3[[#This Row],[Stage]],1)-1)</f>
        <v>3</v>
      </c>
      <c r="V273" s="31" t="str">
        <f>VLOOKUP(ABS(Table3[[#This Row],[Type]]),[1]!Table9[#All],2)</f>
        <v>Masonary</v>
      </c>
    </row>
    <row r="274" spans="1:22" x14ac:dyDescent="0.45">
      <c r="A274" s="24">
        <v>44427</v>
      </c>
      <c r="B274" s="158" t="s">
        <v>121</v>
      </c>
      <c r="C274" s="57">
        <v>1.1100000000000001</v>
      </c>
      <c r="D274" s="90" t="s">
        <v>122</v>
      </c>
      <c r="E274" s="56" t="s">
        <v>346</v>
      </c>
      <c r="F274" s="125"/>
      <c r="G274" s="126">
        <v>1</v>
      </c>
      <c r="H274" s="28">
        <v>70000</v>
      </c>
      <c r="I274" s="30">
        <v>-218.75</v>
      </c>
      <c r="J274" s="109">
        <f>(Table3[[#This Row],[QTY]]*Table3[[#This Row],[Supplies Cost]])+Table3[[#This Row],[Tax/Fees]]</f>
        <v>69781.25</v>
      </c>
      <c r="K274" s="40"/>
      <c r="L274" s="154" t="s">
        <v>33</v>
      </c>
      <c r="M274" s="40" t="s">
        <v>124</v>
      </c>
      <c r="N274" s="31"/>
      <c r="O274" s="1"/>
      <c r="P274" s="31"/>
      <c r="Q274" s="31"/>
      <c r="R274" s="31"/>
      <c r="S274" s="31"/>
      <c r="T274" s="31" t="s">
        <v>60</v>
      </c>
      <c r="U274" s="31" t="str">
        <f>LEFT(Table3[[#This Row],[Stage]],FIND(".",Table3[[#This Row],[Stage]],1)-1)</f>
        <v>1</v>
      </c>
      <c r="V274" s="31" t="str">
        <f>VLOOKUP(ABS(Table3[[#This Row],[Type]]),[1]!Table9[#All],2)</f>
        <v>Transfers</v>
      </c>
    </row>
    <row r="275" spans="1:22" x14ac:dyDescent="0.45">
      <c r="A275" s="24">
        <v>44429</v>
      </c>
      <c r="B275" t="s">
        <v>344</v>
      </c>
      <c r="C275" s="57">
        <v>13.38</v>
      </c>
      <c r="D275" s="90" t="s">
        <v>279</v>
      </c>
      <c r="E275" s="56" t="s">
        <v>347</v>
      </c>
      <c r="F275" s="28"/>
      <c r="G275" s="126">
        <v>1</v>
      </c>
      <c r="H275" s="28">
        <v>572.84</v>
      </c>
      <c r="I275" s="28">
        <v>100.25</v>
      </c>
      <c r="J275" s="109">
        <f>(Table3[[#This Row],[QTY]]*Table3[[#This Row],[Supplies Cost]])+Table3[[#This Row],[Tax/Fees]]</f>
        <v>673.09</v>
      </c>
      <c r="K275" s="40"/>
      <c r="L275" s="154" t="s">
        <v>33</v>
      </c>
      <c r="M275" s="40" t="s">
        <v>47</v>
      </c>
      <c r="N275" s="31"/>
      <c r="O275" s="1"/>
      <c r="P275" s="31"/>
      <c r="Q275" s="31"/>
      <c r="R275" s="31">
        <v>13.381235</v>
      </c>
      <c r="S275" s="31"/>
      <c r="T275" s="31" t="s">
        <v>53</v>
      </c>
      <c r="U275" s="31" t="str">
        <f>LEFT(Table3[[#This Row],[Stage]],FIND(".",Table3[[#This Row],[Stage]],1)-1)</f>
        <v>13</v>
      </c>
      <c r="V275" s="31" t="str">
        <f>VLOOKUP(ABS(Table3[[#This Row],[Type]]),[1]!Table9[#All],2)</f>
        <v>Electrical</v>
      </c>
    </row>
    <row r="276" spans="1:22" x14ac:dyDescent="0.45">
      <c r="A276" s="24">
        <v>44429</v>
      </c>
      <c r="B276" t="s">
        <v>348</v>
      </c>
      <c r="C276" s="34">
        <v>7.36</v>
      </c>
      <c r="D276" s="27" t="s">
        <v>279</v>
      </c>
      <c r="E276" s="56" t="s">
        <v>71</v>
      </c>
      <c r="F276" s="58"/>
      <c r="G276" s="126">
        <v>1</v>
      </c>
      <c r="H276" s="58">
        <v>5.33</v>
      </c>
      <c r="I276" s="58"/>
      <c r="J276" s="109">
        <f>(Table3[[#This Row],[QTY]]*Table3[[#This Row],[Supplies Cost]])+Table3[[#This Row],[Tax/Fees]]</f>
        <v>5.33</v>
      </c>
      <c r="K276" s="164">
        <v>47.51</v>
      </c>
      <c r="L276" s="154" t="s">
        <v>33</v>
      </c>
      <c r="M276" s="40" t="s">
        <v>47</v>
      </c>
      <c r="N276" s="40"/>
      <c r="O276" s="40">
        <v>4218533</v>
      </c>
      <c r="P276" s="40"/>
      <c r="Q276" s="40"/>
      <c r="R276" s="40">
        <v>7.3612450000000003</v>
      </c>
      <c r="S276" s="40"/>
      <c r="T276" s="31" t="s">
        <v>280</v>
      </c>
      <c r="U276" s="40" t="str">
        <f>LEFT(Table3[[#This Row],[Stage]],FIND(".",Table3[[#This Row],[Stage]],1)-1)</f>
        <v>7</v>
      </c>
      <c r="V276" s="31" t="str">
        <f>VLOOKUP(ABS(Table3[[#This Row],[Type]]),[1]!Table9[#All],2)</f>
        <v>Carpentry</v>
      </c>
    </row>
    <row r="277" spans="1:22" x14ac:dyDescent="0.45">
      <c r="A277" s="24">
        <v>44429</v>
      </c>
      <c r="B277" s="25" t="s">
        <v>348</v>
      </c>
      <c r="C277" s="34">
        <v>7.36</v>
      </c>
      <c r="D277" s="152" t="s">
        <v>279</v>
      </c>
      <c r="E277" s="56" t="s">
        <v>71</v>
      </c>
      <c r="F277" s="58"/>
      <c r="G277" s="126">
        <v>1</v>
      </c>
      <c r="H277" s="58">
        <v>42.18</v>
      </c>
      <c r="I277" s="58"/>
      <c r="J277" s="109">
        <f>(Table3[[#This Row],[QTY]]*Table3[[#This Row],[Supplies Cost]])+Table3[[#This Row],[Tax/Fees]]</f>
        <v>42.18</v>
      </c>
      <c r="K277" s="40"/>
      <c r="L277" s="154" t="s">
        <v>92</v>
      </c>
      <c r="M277" s="40" t="s">
        <v>47</v>
      </c>
      <c r="N277" s="40"/>
      <c r="O277" s="40">
        <v>4218533</v>
      </c>
      <c r="P277" s="40"/>
      <c r="Q277" s="40"/>
      <c r="R277" s="40"/>
      <c r="S277" s="40"/>
      <c r="T277" s="40" t="s">
        <v>280</v>
      </c>
      <c r="U277" s="40" t="str">
        <f>LEFT(Table3[[#This Row],[Stage]],FIND(".",Table3[[#This Row],[Stage]],1)-1)</f>
        <v>7</v>
      </c>
      <c r="V277" s="31" t="str">
        <f>VLOOKUP(ABS(Table3[[#This Row],[Type]]),[1]!Table9[#All],2)</f>
        <v>Carpentry</v>
      </c>
    </row>
    <row r="278" spans="1:22" x14ac:dyDescent="0.45">
      <c r="A278" s="24">
        <v>44431</v>
      </c>
      <c r="B278" s="56" t="s">
        <v>349</v>
      </c>
      <c r="C278" s="57">
        <v>3.75</v>
      </c>
      <c r="D278" s="90" t="s">
        <v>177</v>
      </c>
      <c r="E278" s="56" t="s">
        <v>64</v>
      </c>
      <c r="F278" s="58"/>
      <c r="G278" s="29">
        <v>2</v>
      </c>
      <c r="H278" s="58">
        <v>1300</v>
      </c>
      <c r="I278" s="58"/>
      <c r="J278" s="109">
        <f>(Table3[[#This Row],[QTY]]*Table3[[#This Row],[Supplies Cost]])+Table3[[#This Row],[Tax/Fees]]</f>
        <v>2600</v>
      </c>
      <c r="K278" s="40"/>
      <c r="L278" s="154" t="s">
        <v>33</v>
      </c>
      <c r="M278" s="40" t="s">
        <v>47</v>
      </c>
      <c r="N278" s="40"/>
      <c r="O278" s="40"/>
      <c r="P278" s="40"/>
      <c r="Q278" s="40"/>
      <c r="R278" s="40">
        <v>3.7512500000000002</v>
      </c>
      <c r="S278" s="40"/>
      <c r="T278" s="40" t="s">
        <v>56</v>
      </c>
      <c r="U278" s="40" t="str">
        <f>LEFT(Table3[[#This Row],[Stage]],FIND(".",Table3[[#This Row],[Stage]],1)-1)</f>
        <v>3</v>
      </c>
      <c r="V278" s="31" t="str">
        <f>VLOOKUP(ABS(Table3[[#This Row],[Type]]),[1]!Table9[#All],2)</f>
        <v>Masonary</v>
      </c>
    </row>
    <row r="279" spans="1:22" x14ac:dyDescent="0.45">
      <c r="A279" s="24">
        <v>44432</v>
      </c>
      <c r="B279" s="56" t="s">
        <v>350</v>
      </c>
      <c r="C279" s="57">
        <v>3.9</v>
      </c>
      <c r="D279" s="152" t="s">
        <v>351</v>
      </c>
      <c r="E279" s="56" t="s">
        <v>352</v>
      </c>
      <c r="F279" s="28"/>
      <c r="G279" s="29">
        <v>1</v>
      </c>
      <c r="H279" s="28">
        <f>10998.36/3</f>
        <v>3666.1200000000003</v>
      </c>
      <c r="I279" s="28"/>
      <c r="J279" s="109">
        <f>(Table3[[#This Row],[QTY]]*Table3[[#This Row],[Supplies Cost]])+Table3[[#This Row],[Tax/Fees]]</f>
        <v>3666.1200000000003</v>
      </c>
      <c r="K279" s="164">
        <v>10998.36</v>
      </c>
      <c r="L279" s="154" t="s">
        <v>33</v>
      </c>
      <c r="M279" s="40" t="s">
        <v>47</v>
      </c>
      <c r="N279" s="31"/>
      <c r="O279" s="25" t="s">
        <v>353</v>
      </c>
      <c r="P279" s="31"/>
      <c r="Q279" s="31"/>
      <c r="R279" s="31">
        <v>3.9127000000000001</v>
      </c>
      <c r="S279" s="31"/>
      <c r="T279" s="31" t="s">
        <v>354</v>
      </c>
      <c r="U279" s="31" t="str">
        <f>LEFT(Table3[[#This Row],[Stage]],FIND(".",Table3[[#This Row],[Stage]],1)-1)</f>
        <v>3</v>
      </c>
      <c r="V279" s="31" t="str">
        <f>VLOOKUP(ABS(Table3[[#This Row],[Type]]),[1]!Table9[#All],2)</f>
        <v>Masonary</v>
      </c>
    </row>
    <row r="280" spans="1:22" x14ac:dyDescent="0.45">
      <c r="A280" s="24">
        <v>44432</v>
      </c>
      <c r="B280" t="s">
        <v>350</v>
      </c>
      <c r="C280" s="57">
        <v>3.9</v>
      </c>
      <c r="D280" s="152" t="s">
        <v>233</v>
      </c>
      <c r="E280" s="56" t="s">
        <v>352</v>
      </c>
      <c r="F280" s="28"/>
      <c r="G280" s="29">
        <v>1</v>
      </c>
      <c r="H280" s="28">
        <f>10998.36/3</f>
        <v>3666.1200000000003</v>
      </c>
      <c r="I280" s="28"/>
      <c r="J280" s="109">
        <f>(Table3[[#This Row],[QTY]]*Table3[[#This Row],[Supplies Cost]])+Table3[[#This Row],[Tax/Fees]]</f>
        <v>3666.1200000000003</v>
      </c>
      <c r="K280" s="40"/>
      <c r="L280" s="154" t="s">
        <v>92</v>
      </c>
      <c r="M280" s="40" t="s">
        <v>47</v>
      </c>
      <c r="N280" s="31"/>
      <c r="O280" s="25" t="s">
        <v>353</v>
      </c>
      <c r="P280" s="31"/>
      <c r="Q280" s="31"/>
      <c r="R280" s="31">
        <v>3.9125999999999999</v>
      </c>
      <c r="S280" s="31"/>
      <c r="T280" s="31" t="s">
        <v>354</v>
      </c>
      <c r="U280" s="31" t="str">
        <f>LEFT(Table3[[#This Row],[Stage]],FIND(".",Table3[[#This Row],[Stage]],1)-1)</f>
        <v>3</v>
      </c>
      <c r="V280" s="31" t="str">
        <f>VLOOKUP(ABS(Table3[[#This Row],[Type]]),[1]!Table9[#All],2)</f>
        <v>Masonary</v>
      </c>
    </row>
    <row r="281" spans="1:22" x14ac:dyDescent="0.45">
      <c r="A281" s="24">
        <v>44432</v>
      </c>
      <c r="B281" t="s">
        <v>350</v>
      </c>
      <c r="C281" s="57">
        <v>3.9</v>
      </c>
      <c r="D281" s="152" t="s">
        <v>199</v>
      </c>
      <c r="E281" s="56" t="s">
        <v>352</v>
      </c>
      <c r="F281" s="28"/>
      <c r="G281" s="29">
        <v>1</v>
      </c>
      <c r="H281" s="28">
        <f>10998.36/3</f>
        <v>3666.1200000000003</v>
      </c>
      <c r="I281" s="28"/>
      <c r="J281" s="109">
        <f>(Table3[[#This Row],[QTY]]*Table3[[#This Row],[Supplies Cost]])+Table3[[#This Row],[Tax/Fees]]</f>
        <v>3666.1200000000003</v>
      </c>
      <c r="K281" s="40"/>
      <c r="L281" s="154" t="s">
        <v>92</v>
      </c>
      <c r="M281" s="40" t="s">
        <v>47</v>
      </c>
      <c r="N281" s="31"/>
      <c r="O281" s="25" t="s">
        <v>353</v>
      </c>
      <c r="P281" s="31"/>
      <c r="Q281" s="31"/>
      <c r="R281" s="31">
        <v>3.9125999999999999</v>
      </c>
      <c r="S281" s="31"/>
      <c r="T281" s="31" t="s">
        <v>354</v>
      </c>
      <c r="U281" s="31" t="str">
        <f>LEFT(Table3[[#This Row],[Stage]],FIND(".",Table3[[#This Row],[Stage]],1)-1)</f>
        <v>3</v>
      </c>
      <c r="V281" s="31" t="str">
        <f>VLOOKUP(ABS(Table3[[#This Row],[Type]]),[1]!Table9[#All],2)</f>
        <v>Masonary</v>
      </c>
    </row>
    <row r="282" spans="1:22" x14ac:dyDescent="0.45">
      <c r="A282" s="24">
        <v>44434</v>
      </c>
      <c r="B282" t="s">
        <v>355</v>
      </c>
      <c r="C282" s="57">
        <v>10.38</v>
      </c>
      <c r="D282" s="27" t="s">
        <v>177</v>
      </c>
      <c r="E282" s="56" t="s">
        <v>69</v>
      </c>
      <c r="F282" s="28"/>
      <c r="G282" s="29">
        <v>1</v>
      </c>
      <c r="H282" s="28">
        <v>1540</v>
      </c>
      <c r="I282" s="28"/>
      <c r="J282" s="109">
        <f>(Table3[[#This Row],[QTY]]*Table3[[#This Row],[Supplies Cost]])+Table3[[#This Row],[Tax/Fees]]</f>
        <v>1540</v>
      </c>
      <c r="K282" s="40"/>
      <c r="L282" s="154" t="s">
        <v>92</v>
      </c>
      <c r="M282" s="40" t="s">
        <v>34</v>
      </c>
      <c r="N282" s="31"/>
      <c r="O282" s="25">
        <v>21072601</v>
      </c>
      <c r="P282" s="31"/>
      <c r="Q282" s="31"/>
      <c r="R282" s="31"/>
      <c r="S282" s="31"/>
      <c r="T282" s="31" t="s">
        <v>50</v>
      </c>
      <c r="U282" s="31" t="str">
        <f>LEFT(Table3[[#This Row],[Stage]],FIND(".",Table3[[#This Row],[Stage]],1)-1)</f>
        <v>10</v>
      </c>
      <c r="V282" s="31" t="str">
        <f>VLOOKUP(ABS(Table3[[#This Row],[Type]]),[1]!Table9[#All],2)</f>
        <v>Plumbing</v>
      </c>
    </row>
    <row r="283" spans="1:22" x14ac:dyDescent="0.45">
      <c r="A283" s="24">
        <v>44434</v>
      </c>
      <c r="B283" t="s">
        <v>356</v>
      </c>
      <c r="C283" s="57">
        <v>7.4</v>
      </c>
      <c r="D283" s="90" t="s">
        <v>177</v>
      </c>
      <c r="E283" s="56" t="s">
        <v>69</v>
      </c>
      <c r="F283" s="28"/>
      <c r="G283" s="29">
        <v>1</v>
      </c>
      <c r="H283" s="28">
        <f>7612.5-4567.5</f>
        <v>3045</v>
      </c>
      <c r="I283" s="28"/>
      <c r="J283" s="109">
        <f>(Table3[[#This Row],[QTY]]*Table3[[#This Row],[Supplies Cost]])+Table3[[#This Row],[Tax/Fees]]</f>
        <v>3045</v>
      </c>
      <c r="K283" s="40"/>
      <c r="L283" s="154" t="s">
        <v>92</v>
      </c>
      <c r="M283" s="31" t="s">
        <v>47</v>
      </c>
      <c r="N283" s="31"/>
      <c r="O283" s="25">
        <v>21072601</v>
      </c>
      <c r="P283" s="31"/>
      <c r="Q283" s="31"/>
      <c r="R283" s="31"/>
      <c r="S283" s="31"/>
      <c r="T283" s="31" t="s">
        <v>302</v>
      </c>
      <c r="U283" s="31" t="str">
        <f>LEFT(Table3[[#This Row],[Stage]],FIND(".",Table3[[#This Row],[Stage]],1)-1)</f>
        <v>7</v>
      </c>
      <c r="V283" s="31" t="str">
        <f>VLOOKUP(ABS(Table3[[#This Row],[Type]]),[1]!Table9[#All],2)</f>
        <v>Carpentry</v>
      </c>
    </row>
    <row r="284" spans="1:22" x14ac:dyDescent="0.45">
      <c r="A284" s="24">
        <v>44434</v>
      </c>
      <c r="B284" t="s">
        <v>357</v>
      </c>
      <c r="C284" s="34">
        <v>4.0999999999999996</v>
      </c>
      <c r="D284" s="27" t="s">
        <v>358</v>
      </c>
      <c r="E284" s="25" t="s">
        <v>69</v>
      </c>
      <c r="F284" s="28"/>
      <c r="G284" s="29">
        <v>1</v>
      </c>
      <c r="H284" s="28">
        <v>1275</v>
      </c>
      <c r="I284" s="28"/>
      <c r="J284" s="109">
        <f>(Table3[[#This Row],[QTY]]*Table3[[#This Row],[Supplies Cost]])+Table3[[#This Row],[Tax/Fees]]</f>
        <v>1275</v>
      </c>
      <c r="K284" s="164">
        <v>5860</v>
      </c>
      <c r="L284" s="154" t="s">
        <v>33</v>
      </c>
      <c r="M284" s="40" t="s">
        <v>34</v>
      </c>
      <c r="N284" s="31"/>
      <c r="O284" s="25">
        <v>21072601</v>
      </c>
      <c r="P284" s="31"/>
      <c r="Q284" s="31"/>
      <c r="R284" s="31">
        <v>4.1128499999999999</v>
      </c>
      <c r="S284" s="31"/>
      <c r="T284" s="31" t="s">
        <v>359</v>
      </c>
      <c r="U284" s="31" t="str">
        <f>LEFT(Table3[[#This Row],[Stage]],FIND(".",Table3[[#This Row],[Stage]],1)-1)</f>
        <v>4</v>
      </c>
      <c r="V284" s="31" t="str">
        <f>VLOOKUP(ABS(Table3[[#This Row],[Type]]),[1]!Table9[#All],2)</f>
        <v>HVAC</v>
      </c>
    </row>
    <row r="285" spans="1:22" x14ac:dyDescent="0.45">
      <c r="A285" s="24">
        <v>44436</v>
      </c>
      <c r="B285" t="s">
        <v>331</v>
      </c>
      <c r="C285" s="34">
        <v>3.8</v>
      </c>
      <c r="D285" s="27" t="s">
        <v>177</v>
      </c>
      <c r="E285" s="56" t="s">
        <v>67</v>
      </c>
      <c r="F285" s="28"/>
      <c r="G285" s="29">
        <v>1</v>
      </c>
      <c r="H285" s="28">
        <v>50</v>
      </c>
      <c r="I285" s="28"/>
      <c r="J285" s="109">
        <f>(Table3[[#This Row],[QTY]]*Table3[[#This Row],[Supplies Cost]])+Table3[[#This Row],[Tax/Fees]]</f>
        <v>50</v>
      </c>
      <c r="K285" s="40"/>
      <c r="L285" s="154" t="s">
        <v>33</v>
      </c>
      <c r="M285" s="40" t="s">
        <v>47</v>
      </c>
      <c r="N285" s="31"/>
      <c r="O285" s="31"/>
      <c r="P285" s="31"/>
      <c r="Q285" s="31"/>
      <c r="R285" s="31">
        <v>3.8140499999999999</v>
      </c>
      <c r="S285" s="31"/>
      <c r="T285" s="31" t="s">
        <v>269</v>
      </c>
      <c r="U285" s="31" t="str">
        <f>LEFT(Table3[[#This Row],[Stage]],FIND(".",Table3[[#This Row],[Stage]],1)-1)</f>
        <v>3</v>
      </c>
      <c r="V285" s="31" t="str">
        <f>VLOOKUP(ABS(Table3[[#This Row],[Type]]),[1]!Table9[#All],2)</f>
        <v>Masonary</v>
      </c>
    </row>
    <row r="286" spans="1:22" x14ac:dyDescent="0.45">
      <c r="A286" s="24">
        <v>44436</v>
      </c>
      <c r="B286" t="s">
        <v>183</v>
      </c>
      <c r="C286" s="57">
        <v>3.16</v>
      </c>
      <c r="D286" s="40" t="s">
        <v>351</v>
      </c>
      <c r="E286" s="56" t="s">
        <v>71</v>
      </c>
      <c r="F286" s="28"/>
      <c r="G286" s="29">
        <v>1</v>
      </c>
      <c r="H286" s="28">
        <v>651.83000000000004</v>
      </c>
      <c r="I286" s="28"/>
      <c r="J286" s="109">
        <f>(Table3[[#This Row],[QTY]]*Table3[[#This Row],[Supplies Cost]])+Table3[[#This Row],[Tax/Fees]]</f>
        <v>651.83000000000004</v>
      </c>
      <c r="K286" s="40"/>
      <c r="L286" s="154" t="s">
        <v>33</v>
      </c>
      <c r="M286" s="40" t="s">
        <v>47</v>
      </c>
      <c r="N286" s="31"/>
      <c r="O286" s="31" t="s">
        <v>360</v>
      </c>
      <c r="P286" s="31"/>
      <c r="Q286" s="31"/>
      <c r="R286" s="31">
        <v>3.161295</v>
      </c>
      <c r="S286" s="31"/>
      <c r="T286" s="31" t="s">
        <v>269</v>
      </c>
      <c r="U286" s="31" t="str">
        <f>LEFT(Table3[[#This Row],[Stage]],FIND(".",Table3[[#This Row],[Stage]],1)-1)</f>
        <v>3</v>
      </c>
      <c r="V286" s="31" t="str">
        <f>VLOOKUP(ABS(Table3[[#This Row],[Type]]),[1]!Table9[#All],2)</f>
        <v>Masonary</v>
      </c>
    </row>
    <row r="287" spans="1:22" x14ac:dyDescent="0.45">
      <c r="A287" s="24">
        <v>44438</v>
      </c>
      <c r="B287" t="s">
        <v>361</v>
      </c>
      <c r="C287" s="94">
        <v>8.0299999999999994</v>
      </c>
      <c r="D287" s="1" t="s">
        <v>144</v>
      </c>
      <c r="E287" s="56" t="s">
        <v>46</v>
      </c>
      <c r="F287" s="28"/>
      <c r="G287" s="29">
        <v>1</v>
      </c>
      <c r="H287" s="28">
        <v>79.569999999999993</v>
      </c>
      <c r="I287" s="28"/>
      <c r="J287" s="109">
        <f>(Table3[[#This Row],[QTY]]*Table3[[#This Row],[Supplies Cost]])+Table3[[#This Row],[Tax/Fees]]</f>
        <v>79.569999999999993</v>
      </c>
      <c r="K287" s="40"/>
      <c r="L287" s="154" t="s">
        <v>33</v>
      </c>
      <c r="M287" s="40" t="s">
        <v>77</v>
      </c>
      <c r="N287" s="31"/>
      <c r="O287" s="31"/>
      <c r="P287" s="31"/>
      <c r="Q287" s="31"/>
      <c r="R287" s="31">
        <v>8.0312900000000003</v>
      </c>
      <c r="S287" s="31"/>
      <c r="T287" s="31" t="s">
        <v>60</v>
      </c>
      <c r="U287" s="31" t="str">
        <f>LEFT(Table3[[#This Row],[Stage]],FIND(".",Table3[[#This Row],[Stage]],1)-1)</f>
        <v>8</v>
      </c>
      <c r="V287" s="31" t="str">
        <f>VLOOKUP(ABS(Table3[[#This Row],[Type]]),[1]!Table9[#All],2)</f>
        <v>Administrative</v>
      </c>
    </row>
    <row r="288" spans="1:22" x14ac:dyDescent="0.45">
      <c r="A288" s="24">
        <v>44438</v>
      </c>
      <c r="B288" t="s">
        <v>362</v>
      </c>
      <c r="C288" s="34">
        <v>3.46</v>
      </c>
      <c r="D288" s="40" t="s">
        <v>199</v>
      </c>
      <c r="E288" s="28" t="s">
        <v>108</v>
      </c>
      <c r="F288" s="28"/>
      <c r="G288" s="29">
        <v>1</v>
      </c>
      <c r="H288" s="28">
        <v>950.58</v>
      </c>
      <c r="I288" s="28"/>
      <c r="J288" s="109">
        <f>(Table3[[#This Row],[QTY]]*Table3[[#This Row],[Supplies Cost]])+Table3[[#This Row],[Tax/Fees]]</f>
        <v>950.58</v>
      </c>
      <c r="K288" s="40"/>
      <c r="L288" s="154" t="s">
        <v>33</v>
      </c>
      <c r="M288" s="40" t="s">
        <v>47</v>
      </c>
      <c r="N288" s="31"/>
      <c r="O288" s="31"/>
      <c r="P288" s="31"/>
      <c r="Q288" s="31"/>
      <c r="R288" s="31">
        <v>3.4613049999999999</v>
      </c>
      <c r="S288" s="31"/>
      <c r="T288" s="31" t="s">
        <v>269</v>
      </c>
      <c r="U288" s="31" t="str">
        <f>LEFT(Table3[[#This Row],[Stage]],FIND(".",Table3[[#This Row],[Stage]],1)-1)</f>
        <v>3</v>
      </c>
      <c r="V288" s="31" t="str">
        <f>VLOOKUP(ABS(Table3[[#This Row],[Type]]),[1]!Table9[#All],2)</f>
        <v>Masonary</v>
      </c>
    </row>
    <row r="289" spans="1:22" x14ac:dyDescent="0.45">
      <c r="A289" s="24">
        <v>44440</v>
      </c>
      <c r="B289" s="56" t="s">
        <v>363</v>
      </c>
      <c r="C289" s="57">
        <v>3.9</v>
      </c>
      <c r="D289" s="40" t="s">
        <v>199</v>
      </c>
      <c r="E289" s="56" t="s">
        <v>364</v>
      </c>
      <c r="F289" s="28"/>
      <c r="G289" s="29">
        <v>1</v>
      </c>
      <c r="H289" s="28">
        <v>2365</v>
      </c>
      <c r="I289" s="28"/>
      <c r="J289" s="135">
        <f>(Table3[[#This Row],[QTY]]*Table3[[#This Row],[Supplies Cost]])+Table3[[#This Row],[Tax/Fees]]</f>
        <v>2365</v>
      </c>
      <c r="K289" s="40"/>
      <c r="L289" s="154" t="s">
        <v>33</v>
      </c>
      <c r="M289" s="40" t="s">
        <v>47</v>
      </c>
      <c r="N289" s="31"/>
      <c r="O289" s="1"/>
      <c r="P289" s="31"/>
      <c r="Q289" s="31"/>
      <c r="R289" s="31">
        <v>3.9131</v>
      </c>
      <c r="S289" s="31"/>
      <c r="T289" s="31" t="s">
        <v>365</v>
      </c>
      <c r="U289" s="31" t="str">
        <f>LEFT(Table3[[#This Row],[Stage]],FIND(".",Table3[[#This Row],[Stage]],1)-1)</f>
        <v>3</v>
      </c>
      <c r="V289" s="31" t="str">
        <f>VLOOKUP(ABS(Table3[[#This Row],[Type]]),[1]!Table9[#All],2)</f>
        <v>Masonary</v>
      </c>
    </row>
    <row r="290" spans="1:22" x14ac:dyDescent="0.45">
      <c r="A290" s="24">
        <v>44449</v>
      </c>
      <c r="B290" s="56" t="s">
        <v>366</v>
      </c>
      <c r="C290" s="57">
        <v>7.6</v>
      </c>
      <c r="D290" s="40" t="s">
        <v>351</v>
      </c>
      <c r="E290" s="56" t="s">
        <v>367</v>
      </c>
      <c r="F290" s="28"/>
      <c r="G290" s="126">
        <v>1</v>
      </c>
      <c r="H290" s="28">
        <v>4042.5</v>
      </c>
      <c r="I290" s="28"/>
      <c r="J290" s="135">
        <f>(Table3[[#This Row],[QTY]]*Table3[[#This Row],[Supplies Cost]])+Table3[[#This Row],[Tax/Fees]]</f>
        <v>4042.5</v>
      </c>
      <c r="K290" s="40"/>
      <c r="L290" s="154" t="s">
        <v>33</v>
      </c>
      <c r="M290" s="40" t="s">
        <v>47</v>
      </c>
      <c r="N290" s="31"/>
      <c r="O290" s="1"/>
      <c r="P290" s="31"/>
      <c r="Q290" s="31"/>
      <c r="R290" s="31">
        <v>7.6131500000000001</v>
      </c>
      <c r="S290" s="31"/>
      <c r="T290" s="31" t="s">
        <v>365</v>
      </c>
      <c r="U290" s="31" t="str">
        <f>LEFT(Table3[[#This Row],[Stage]],FIND(".",Table3[[#This Row],[Stage]],1)-1)</f>
        <v>7</v>
      </c>
      <c r="V290" s="31" t="str">
        <f>VLOOKUP(ABS(Table3[[#This Row],[Type]]),[1]!Table9[#All],2)</f>
        <v>Carpentry</v>
      </c>
    </row>
    <row r="291" spans="1:22" x14ac:dyDescent="0.45">
      <c r="A291" s="24">
        <v>44454</v>
      </c>
      <c r="B291" s="56" t="s">
        <v>368</v>
      </c>
      <c r="C291" s="57">
        <v>5.44</v>
      </c>
      <c r="D291" s="90" t="s">
        <v>45</v>
      </c>
      <c r="E291" s="56" t="s">
        <v>76</v>
      </c>
      <c r="F291" s="28"/>
      <c r="G291" s="126">
        <v>1</v>
      </c>
      <c r="H291" s="28">
        <v>600</v>
      </c>
      <c r="I291" s="28"/>
      <c r="J291" s="135">
        <f>(Table3[[#This Row],[QTY]]*Table3[[#This Row],[Supplies Cost]])+Table3[[#This Row],[Tax/Fees]]</f>
        <v>600</v>
      </c>
      <c r="K291" s="40"/>
      <c r="L291" s="154" t="s">
        <v>33</v>
      </c>
      <c r="M291" s="40" t="s">
        <v>77</v>
      </c>
      <c r="N291" s="31"/>
      <c r="O291" s="1"/>
      <c r="P291" s="31"/>
      <c r="Q291" s="31"/>
      <c r="R291" s="31">
        <v>5.4413299999999998</v>
      </c>
      <c r="S291" s="31"/>
      <c r="T291" s="31" t="s">
        <v>79</v>
      </c>
      <c r="U291" s="31" t="str">
        <f>LEFT(Table3[[#This Row],[Stage]],FIND(".",Table3[[#This Row],[Stage]],1)-1)</f>
        <v>5</v>
      </c>
      <c r="V291" s="31" t="str">
        <f>VLOOKUP(ABS(Table3[[#This Row],[Type]]),[1]!Table9[#All],2)</f>
        <v>Earthworks</v>
      </c>
    </row>
    <row r="292" spans="1:22" x14ac:dyDescent="0.45">
      <c r="A292" s="24">
        <v>44454</v>
      </c>
      <c r="B292" s="56" t="s">
        <v>369</v>
      </c>
      <c r="C292" s="57">
        <v>3.1</v>
      </c>
      <c r="D292" s="40" t="s">
        <v>213</v>
      </c>
      <c r="E292" s="25" t="s">
        <v>239</v>
      </c>
      <c r="F292" s="58"/>
      <c r="G292" s="126">
        <v>1</v>
      </c>
      <c r="H292" s="58">
        <v>1233.75</v>
      </c>
      <c r="I292" s="28"/>
      <c r="J292" s="135">
        <f>(Table3[[#This Row],[QTY]]*Table3[[#This Row],[Supplies Cost]])+Table3[[#This Row],[Tax/Fees]]</f>
        <v>1233.75</v>
      </c>
      <c r="K292" s="40"/>
      <c r="L292" s="154" t="s">
        <v>33</v>
      </c>
      <c r="M292" s="40" t="s">
        <v>47</v>
      </c>
      <c r="N292" s="31"/>
      <c r="O292" s="31"/>
      <c r="P292" s="31"/>
      <c r="Q292" s="31"/>
      <c r="R292" s="31">
        <v>3.1132</v>
      </c>
      <c r="S292" s="31"/>
      <c r="T292" s="31" t="s">
        <v>236</v>
      </c>
      <c r="U292" s="31" t="str">
        <f>LEFT(Table3[[#This Row],[Stage]],FIND(".",Table3[[#This Row],[Stage]],1)-1)</f>
        <v>3</v>
      </c>
      <c r="V292" s="31" t="str">
        <f>VLOOKUP(ABS(Table3[[#This Row],[Type]]),[1]!Table9[#All],2)</f>
        <v>Masonary</v>
      </c>
    </row>
    <row r="293" spans="1:22" x14ac:dyDescent="0.45">
      <c r="A293" s="24">
        <v>44455</v>
      </c>
      <c r="B293" t="s">
        <v>370</v>
      </c>
      <c r="C293" s="57">
        <v>7.4</v>
      </c>
      <c r="D293" s="90" t="s">
        <v>177</v>
      </c>
      <c r="E293" s="56" t="s">
        <v>69</v>
      </c>
      <c r="F293" s="28"/>
      <c r="G293" s="29">
        <v>1</v>
      </c>
      <c r="H293" s="28">
        <v>2537.5</v>
      </c>
      <c r="I293" s="28"/>
      <c r="J293" s="135">
        <f>(Table3[[#This Row],[QTY]]*Table3[[#This Row],[Supplies Cost]])+Table3[[#This Row],[Tax/Fees]]</f>
        <v>2537.5</v>
      </c>
      <c r="K293" s="40"/>
      <c r="L293" s="154" t="s">
        <v>33</v>
      </c>
      <c r="M293" s="40" t="s">
        <v>34</v>
      </c>
      <c r="N293" s="31"/>
      <c r="O293" s="31"/>
      <c r="P293" s="31"/>
      <c r="Q293" s="31"/>
      <c r="R293" s="31">
        <v>7.4132499999999997</v>
      </c>
      <c r="S293" s="31"/>
      <c r="T293" s="31" t="s">
        <v>302</v>
      </c>
      <c r="U293" s="31" t="str">
        <f>LEFT(Table3[[#This Row],[Stage]],FIND(".",Table3[[#This Row],[Stage]],1)-1)</f>
        <v>7</v>
      </c>
      <c r="V293" s="31" t="str">
        <f>VLOOKUP(ABS(Table3[[#This Row],[Type]]),[1]!Table9[#All],2)</f>
        <v>Carpentry</v>
      </c>
    </row>
    <row r="294" spans="1:22" x14ac:dyDescent="0.45">
      <c r="A294" s="24">
        <v>44460</v>
      </c>
      <c r="B294" t="s">
        <v>371</v>
      </c>
      <c r="C294" s="34">
        <v>8.0399999999999991</v>
      </c>
      <c r="D294" s="152" t="s">
        <v>279</v>
      </c>
      <c r="E294" s="56" t="s">
        <v>123</v>
      </c>
      <c r="F294" s="28"/>
      <c r="G294" s="29">
        <v>1</v>
      </c>
      <c r="H294" s="28">
        <v>400</v>
      </c>
      <c r="I294" s="28"/>
      <c r="J294" s="109">
        <f>(Table3[[#This Row],[QTY]]*Table3[[#This Row],[Supplies Cost]])+Table3[[#This Row],[Tax/Fees]]</f>
        <v>400</v>
      </c>
      <c r="K294" s="40"/>
      <c r="L294" s="154" t="s">
        <v>33</v>
      </c>
      <c r="M294" s="40" t="s">
        <v>47</v>
      </c>
      <c r="N294" s="31"/>
      <c r="O294" s="31"/>
      <c r="P294" s="31"/>
      <c r="Q294" s="31"/>
      <c r="R294" s="31">
        <v>8.0413750000000004</v>
      </c>
      <c r="S294" s="31"/>
      <c r="T294" s="31" t="s">
        <v>60</v>
      </c>
      <c r="U294" s="31" t="str">
        <f>LEFT(Table3[[#This Row],[Stage]],FIND(".",Table3[[#This Row],[Stage]],1)-1)</f>
        <v>8</v>
      </c>
      <c r="V294" s="31" t="str">
        <f>VLOOKUP(ABS(Table3[[#This Row],[Type]]),[1]!Table9[#All],2)</f>
        <v>Administrative</v>
      </c>
    </row>
    <row r="295" spans="1:22" x14ac:dyDescent="0.45">
      <c r="A295" s="24">
        <v>44461</v>
      </c>
      <c r="B295" t="s">
        <v>104</v>
      </c>
      <c r="C295" s="34">
        <v>8.0399999999999991</v>
      </c>
      <c r="D295" s="152" t="s">
        <v>279</v>
      </c>
      <c r="E295" s="56" t="s">
        <v>104</v>
      </c>
      <c r="F295" s="28"/>
      <c r="G295" s="29">
        <v>1</v>
      </c>
      <c r="H295" s="28">
        <v>17.23</v>
      </c>
      <c r="I295" s="28"/>
      <c r="J295" s="109">
        <f>(Table3[[#This Row],[QTY]]*Table3[[#This Row],[Supplies Cost]])+Table3[[#This Row],[Tax/Fees]]</f>
        <v>17.23</v>
      </c>
      <c r="K295" s="40"/>
      <c r="L295" s="154" t="s">
        <v>33</v>
      </c>
      <c r="M295" s="40" t="s">
        <v>77</v>
      </c>
      <c r="N295" s="31"/>
      <c r="O295" s="31"/>
      <c r="P295" s="31"/>
      <c r="Q295" s="31"/>
      <c r="R295" s="31">
        <v>8.0413399999999999</v>
      </c>
      <c r="S295" s="31"/>
      <c r="T295" s="31" t="s">
        <v>60</v>
      </c>
      <c r="U295" s="31" t="str">
        <f>LEFT(Table3[[#This Row],[Stage]],FIND(".",Table3[[#This Row],[Stage]],1)-1)</f>
        <v>8</v>
      </c>
      <c r="V295" s="31" t="str">
        <f>VLOOKUP(ABS(Table3[[#This Row],[Type]]),[1]!Table9[#All],2)</f>
        <v>Administrative</v>
      </c>
    </row>
    <row r="296" spans="1:22" x14ac:dyDescent="0.45">
      <c r="A296" s="24">
        <v>44461</v>
      </c>
      <c r="B296" t="s">
        <v>372</v>
      </c>
      <c r="C296" s="34">
        <v>7.36</v>
      </c>
      <c r="D296" s="1" t="s">
        <v>279</v>
      </c>
      <c r="E296" s="56" t="s">
        <v>116</v>
      </c>
      <c r="F296" s="28"/>
      <c r="G296" s="29">
        <v>1</v>
      </c>
      <c r="H296" s="28">
        <v>1386.5</v>
      </c>
      <c r="I296" s="28"/>
      <c r="J296" s="109">
        <f>(Table3[[#This Row],[QTY]]*Table3[[#This Row],[Supplies Cost]])+Table3[[#This Row],[Tax/Fees]]</f>
        <v>1386.5</v>
      </c>
      <c r="K296" s="40"/>
      <c r="L296" s="154" t="s">
        <v>33</v>
      </c>
      <c r="M296" s="40" t="s">
        <v>77</v>
      </c>
      <c r="N296" s="31"/>
      <c r="O296" s="31"/>
      <c r="P296" s="31"/>
      <c r="Q296" s="31"/>
      <c r="R296" s="31">
        <v>7.361345</v>
      </c>
      <c r="S296" s="31"/>
      <c r="T296" s="31" t="s">
        <v>236</v>
      </c>
      <c r="U296" s="31" t="str">
        <f>LEFT(Table3[[#This Row],[Stage]],FIND(".",Table3[[#This Row],[Stage]],1)-1)</f>
        <v>7</v>
      </c>
      <c r="V296" s="31" t="str">
        <f>VLOOKUP(ABS(Table3[[#This Row],[Type]]),[1]!Table9[#All],2)</f>
        <v>Carpentry</v>
      </c>
    </row>
    <row r="297" spans="1:22" x14ac:dyDescent="0.45">
      <c r="A297" s="24">
        <v>44461</v>
      </c>
      <c r="B297" t="s">
        <v>151</v>
      </c>
      <c r="C297" s="94">
        <v>8.0299999999999994</v>
      </c>
      <c r="D297" s="1" t="s">
        <v>144</v>
      </c>
      <c r="E297" s="56" t="s">
        <v>46</v>
      </c>
      <c r="F297" s="28"/>
      <c r="G297" s="29">
        <v>1</v>
      </c>
      <c r="H297" s="28">
        <v>79.569999999999993</v>
      </c>
      <c r="I297" s="28"/>
      <c r="J297" s="109">
        <f>(Table3[[#This Row],[QTY]]*Table3[[#This Row],[Supplies Cost]])+Table3[[#This Row],[Tax/Fees]]</f>
        <v>79.569999999999993</v>
      </c>
      <c r="K297" s="40"/>
      <c r="L297" s="154" t="s">
        <v>33</v>
      </c>
      <c r="M297" s="40" t="s">
        <v>77</v>
      </c>
      <c r="N297" s="31"/>
      <c r="O297" s="31"/>
      <c r="P297" s="31"/>
      <c r="Q297" s="31"/>
      <c r="R297" s="31">
        <v>8.0313350000000003</v>
      </c>
      <c r="S297" s="31"/>
      <c r="T297" s="31" t="s">
        <v>60</v>
      </c>
      <c r="U297" s="31" t="str">
        <f>LEFT(Table3[[#This Row],[Stage]],FIND(".",Table3[[#This Row],[Stage]],1)-1)</f>
        <v>8</v>
      </c>
      <c r="V297" s="31" t="str">
        <f>VLOOKUP(ABS(Table3[[#This Row],[Type]]),[1]!Table9[#All],2)</f>
        <v>Administrative</v>
      </c>
    </row>
    <row r="298" spans="1:22" x14ac:dyDescent="0.45">
      <c r="A298" s="24">
        <v>44463</v>
      </c>
      <c r="B298" t="s">
        <v>373</v>
      </c>
      <c r="C298" s="57">
        <v>3.06</v>
      </c>
      <c r="D298" s="90" t="s">
        <v>374</v>
      </c>
      <c r="E298" s="56" t="s">
        <v>119</v>
      </c>
      <c r="F298" s="28"/>
      <c r="G298" s="29">
        <v>1</v>
      </c>
      <c r="H298" s="28">
        <v>7113.87</v>
      </c>
      <c r="I298" s="28"/>
      <c r="J298" s="135">
        <f>(Table3[[#This Row],[QTY]]*Table3[[#This Row],[Supplies Cost]])+Table3[[#This Row],[Tax/Fees]]</f>
        <v>7113.87</v>
      </c>
      <c r="K298" s="40"/>
      <c r="L298" s="154" t="s">
        <v>33</v>
      </c>
      <c r="M298" s="40" t="s">
        <v>47</v>
      </c>
      <c r="N298" s="31"/>
      <c r="O298" s="31"/>
      <c r="P298" s="31"/>
      <c r="Q298" s="31" t="s">
        <v>120</v>
      </c>
      <c r="R298" s="31">
        <v>3.06135</v>
      </c>
      <c r="S298" s="31"/>
      <c r="T298" s="31" t="s">
        <v>280</v>
      </c>
      <c r="U298" s="31" t="str">
        <f>LEFT(Table3[[#This Row],[Stage]],FIND(".",Table3[[#This Row],[Stage]],1)-1)</f>
        <v>3</v>
      </c>
      <c r="V298" s="31" t="str">
        <f>VLOOKUP(ABS(Table3[[#This Row],[Type]]),[1]!Table9[#All],2)</f>
        <v>Masonary</v>
      </c>
    </row>
    <row r="299" spans="1:22" x14ac:dyDescent="0.45">
      <c r="A299" s="24">
        <v>44468</v>
      </c>
      <c r="B299" t="s">
        <v>375</v>
      </c>
      <c r="C299" s="57">
        <v>3.9</v>
      </c>
      <c r="D299" s="90" t="s">
        <v>351</v>
      </c>
      <c r="E299" s="56" t="s">
        <v>352</v>
      </c>
      <c r="F299" s="28"/>
      <c r="G299" s="29">
        <v>1</v>
      </c>
      <c r="H299" s="28">
        <f>10998.37/3</f>
        <v>3666.1233333333334</v>
      </c>
      <c r="I299" s="28"/>
      <c r="J299" s="135">
        <f>(Table3[[#This Row],[QTY]]*Table3[[#This Row],[Supplies Cost]])+Table3[[#This Row],[Tax/Fees]]</f>
        <v>3666.1233333333334</v>
      </c>
      <c r="K299" s="40"/>
      <c r="L299" s="154" t="s">
        <v>92</v>
      </c>
      <c r="M299" s="40" t="s">
        <v>47</v>
      </c>
      <c r="N299" s="31"/>
      <c r="O299" s="25">
        <v>763141</v>
      </c>
      <c r="P299" s="31"/>
      <c r="Q299" s="31"/>
      <c r="R299" s="31">
        <v>3.9135499999999999</v>
      </c>
      <c r="S299" s="31"/>
      <c r="T299" s="31" t="s">
        <v>354</v>
      </c>
      <c r="U299" s="31" t="str">
        <f>LEFT(Table3[[#This Row],[Stage]],FIND(".",Table3[[#This Row],[Stage]],1)-1)</f>
        <v>3</v>
      </c>
      <c r="V299" s="31" t="str">
        <f>VLOOKUP(ABS(Table3[[#This Row],[Type]]),[1]!Table9[#All],2)</f>
        <v>Masonary</v>
      </c>
    </row>
    <row r="300" spans="1:22" x14ac:dyDescent="0.45">
      <c r="A300" s="24">
        <v>44468</v>
      </c>
      <c r="B300" t="s">
        <v>375</v>
      </c>
      <c r="C300" s="57">
        <v>3.9</v>
      </c>
      <c r="D300" s="90" t="s">
        <v>233</v>
      </c>
      <c r="E300" t="s">
        <v>352</v>
      </c>
      <c r="F300" s="28"/>
      <c r="G300" s="29">
        <v>1</v>
      </c>
      <c r="H300" s="28">
        <f>10998.37/3</f>
        <v>3666.1233333333334</v>
      </c>
      <c r="I300" s="28"/>
      <c r="J300" s="135">
        <f>(Table3[[#This Row],[QTY]]*Table3[[#This Row],[Supplies Cost]])+Table3[[#This Row],[Tax/Fees]]</f>
        <v>3666.1233333333334</v>
      </c>
      <c r="K300" s="164">
        <v>10998.37</v>
      </c>
      <c r="L300" s="154" t="s">
        <v>33</v>
      </c>
      <c r="M300" s="40" t="s">
        <v>47</v>
      </c>
      <c r="N300" s="31"/>
      <c r="O300" s="25">
        <v>763141</v>
      </c>
      <c r="P300" s="31"/>
      <c r="Q300" s="31"/>
      <c r="R300" s="31">
        <v>3.9136500000000001</v>
      </c>
      <c r="S300" s="31"/>
      <c r="T300" s="31" t="s">
        <v>354</v>
      </c>
      <c r="U300" s="31" t="str">
        <f>LEFT(Table3[[#This Row],[Stage]],FIND(".",Table3[[#This Row],[Stage]],1)-1)</f>
        <v>3</v>
      </c>
      <c r="V300" s="31" t="str">
        <f>VLOOKUP(ABS(Table3[[#This Row],[Type]]),[1]!Table9[#All],2)</f>
        <v>Masonary</v>
      </c>
    </row>
    <row r="301" spans="1:22" x14ac:dyDescent="0.45">
      <c r="A301" s="24">
        <v>44468</v>
      </c>
      <c r="B301" t="s">
        <v>375</v>
      </c>
      <c r="C301" s="57">
        <v>3.9</v>
      </c>
      <c r="D301" s="152" t="s">
        <v>199</v>
      </c>
      <c r="E301" s="56" t="s">
        <v>352</v>
      </c>
      <c r="F301" s="28"/>
      <c r="G301" s="29">
        <v>1</v>
      </c>
      <c r="H301" s="28">
        <f>10998.37/3</f>
        <v>3666.1233333333334</v>
      </c>
      <c r="I301" s="28"/>
      <c r="J301" s="135">
        <f>(Table3[[#This Row],[QTY]]*Table3[[#This Row],[Supplies Cost]])+Table3[[#This Row],[Tax/Fees]]</f>
        <v>3666.1233333333334</v>
      </c>
      <c r="K301" s="40"/>
      <c r="L301" s="154" t="s">
        <v>92</v>
      </c>
      <c r="M301" s="40" t="s">
        <v>47</v>
      </c>
      <c r="N301" s="31"/>
      <c r="O301" s="25">
        <v>763141</v>
      </c>
      <c r="P301" s="31"/>
      <c r="Q301" s="31"/>
      <c r="R301" s="31">
        <v>3.9136000000000002</v>
      </c>
      <c r="S301" s="31"/>
      <c r="T301" s="31" t="s">
        <v>354</v>
      </c>
      <c r="U301" s="31" t="str">
        <f>LEFT(Table3[[#This Row],[Stage]],FIND(".",Table3[[#This Row],[Stage]],1)-1)</f>
        <v>3</v>
      </c>
      <c r="V301" s="31" t="str">
        <f>VLOOKUP(ABS(Table3[[#This Row],[Type]]),[1]!Table9[#All],2)</f>
        <v>Masonary</v>
      </c>
    </row>
    <row r="302" spans="1:22" ht="92.25" x14ac:dyDescent="0.45">
      <c r="A302" s="74">
        <v>44471</v>
      </c>
      <c r="B302" s="75" t="s">
        <v>232</v>
      </c>
      <c r="C302" s="169">
        <v>3.8</v>
      </c>
      <c r="D302" s="170" t="s">
        <v>290</v>
      </c>
      <c r="E302" s="171" t="s">
        <v>67</v>
      </c>
      <c r="F302" s="79"/>
      <c r="G302" s="80">
        <v>1</v>
      </c>
      <c r="H302" s="79">
        <v>20000</v>
      </c>
      <c r="I302" s="79"/>
      <c r="J302" s="161">
        <f>(Table3[[#This Row],[QTY]]*Table3[[#This Row],[Supplies Cost]])+Table3[[#This Row],[Tax/Fees]]</f>
        <v>20000</v>
      </c>
      <c r="K302" s="86"/>
      <c r="L302" s="172" t="s">
        <v>33</v>
      </c>
      <c r="M302" s="86" t="s">
        <v>34</v>
      </c>
      <c r="N302" s="82"/>
      <c r="O302" s="82"/>
      <c r="P302" s="82"/>
      <c r="Q302" s="82"/>
      <c r="R302" s="82">
        <v>3.8136999999999999</v>
      </c>
      <c r="S302" s="82" t="s">
        <v>376</v>
      </c>
      <c r="T302" s="82" t="s">
        <v>85</v>
      </c>
      <c r="U302" s="82" t="str">
        <f>LEFT(Table3[[#This Row],[Stage]],FIND(".",Table3[[#This Row],[Stage]],1)-1)</f>
        <v>3</v>
      </c>
      <c r="V302" s="82" t="str">
        <f>VLOOKUP(ABS(Table3[[#This Row],[Type]]),[1]!Table9[#All],2)</f>
        <v>Masonary</v>
      </c>
    </row>
    <row r="303" spans="1:22" s="75" customFormat="1" x14ac:dyDescent="0.45">
      <c r="A303" s="24">
        <v>44474</v>
      </c>
      <c r="B303" t="s">
        <v>102</v>
      </c>
      <c r="C303" s="34">
        <v>7.36</v>
      </c>
      <c r="D303" s="1" t="s">
        <v>279</v>
      </c>
      <c r="E303" t="s">
        <v>71</v>
      </c>
      <c r="F303" s="28"/>
      <c r="G303" s="29">
        <v>1</v>
      </c>
      <c r="H303" s="28">
        <v>651.83000000000004</v>
      </c>
      <c r="I303" s="28"/>
      <c r="J303" s="109">
        <f>(Table3[[#This Row],[QTY]]*Table3[[#This Row],[Supplies Cost]])+Table3[[#This Row],[Tax/Fees]]</f>
        <v>651.83000000000004</v>
      </c>
      <c r="K303" s="40"/>
      <c r="L303" s="154" t="s">
        <v>33</v>
      </c>
      <c r="M303" s="40" t="s">
        <v>47</v>
      </c>
      <c r="N303" s="31"/>
      <c r="O303" s="31"/>
      <c r="P303" s="31"/>
      <c r="Q303" s="31"/>
      <c r="R303" s="31">
        <v>7.3613799999999996</v>
      </c>
      <c r="S303" s="31"/>
      <c r="T303" s="31" t="s">
        <v>269</v>
      </c>
      <c r="U303" s="31" t="str">
        <f>LEFT(Table3[[#This Row],[Stage]],FIND(".",Table3[[#This Row],[Stage]],1)-1)</f>
        <v>7</v>
      </c>
      <c r="V303" s="31" t="str">
        <f>VLOOKUP(ABS(Table3[[#This Row],[Type]]),[1]!Table9[#All],2)</f>
        <v>Carpentry</v>
      </c>
    </row>
    <row r="304" spans="1:22" x14ac:dyDescent="0.45">
      <c r="A304" s="24">
        <v>44475</v>
      </c>
      <c r="B304" t="s">
        <v>138</v>
      </c>
      <c r="C304" s="34">
        <v>7.36</v>
      </c>
      <c r="D304" s="1" t="s">
        <v>279</v>
      </c>
      <c r="E304" s="56" t="s">
        <v>116</v>
      </c>
      <c r="F304" s="28"/>
      <c r="G304" s="29">
        <v>1</v>
      </c>
      <c r="H304" s="28">
        <v>70.5</v>
      </c>
      <c r="I304" s="28"/>
      <c r="J304" s="109">
        <f>(Table3[[#This Row],[QTY]]*Table3[[#This Row],[Supplies Cost]])+Table3[[#This Row],[Tax/Fees]]</f>
        <v>70.5</v>
      </c>
      <c r="K304" s="40"/>
      <c r="L304" s="154" t="s">
        <v>33</v>
      </c>
      <c r="M304" s="40" t="s">
        <v>77</v>
      </c>
      <c r="N304" s="31"/>
      <c r="O304" s="31"/>
      <c r="P304" s="31"/>
      <c r="Q304" s="31"/>
      <c r="R304" s="31">
        <v>7.3613949999999999</v>
      </c>
      <c r="S304" s="31"/>
      <c r="T304" s="31" t="s">
        <v>280</v>
      </c>
      <c r="U304" s="31" t="str">
        <f>LEFT(Table3[[#This Row],[Stage]],FIND(".",Table3[[#This Row],[Stage]],1)-1)</f>
        <v>7</v>
      </c>
      <c r="V304" s="31" t="str">
        <f>VLOOKUP(ABS(Table3[[#This Row],[Type]]),[1]!Table9[#All],2)</f>
        <v>Carpentry</v>
      </c>
    </row>
    <row r="305" spans="1:22" x14ac:dyDescent="0.4">
      <c r="A305" s="24">
        <v>44475</v>
      </c>
      <c r="B305" s="168" t="s">
        <v>377</v>
      </c>
      <c r="C305" s="34">
        <v>7.36</v>
      </c>
      <c r="D305" s="1" t="s">
        <v>279</v>
      </c>
      <c r="E305" s="56" t="s">
        <v>116</v>
      </c>
      <c r="F305" s="28"/>
      <c r="G305" s="29">
        <v>1</v>
      </c>
      <c r="H305" s="28">
        <v>616.88</v>
      </c>
      <c r="I305" s="28"/>
      <c r="J305" s="109">
        <f>(Table3[[#This Row],[QTY]]*Table3[[#This Row],[Supplies Cost]])+Table3[[#This Row],[Tax/Fees]]</f>
        <v>616.88</v>
      </c>
      <c r="K305" s="40"/>
      <c r="L305" s="154" t="s">
        <v>33</v>
      </c>
      <c r="M305" s="40" t="s">
        <v>77</v>
      </c>
      <c r="N305" s="31"/>
      <c r="O305" s="31"/>
      <c r="P305" s="31"/>
      <c r="Q305" s="31"/>
      <c r="R305" s="31">
        <v>7.3613900000000001</v>
      </c>
      <c r="S305" s="31"/>
      <c r="T305" s="31" t="s">
        <v>244</v>
      </c>
      <c r="U305" s="31" t="str">
        <f>LEFT(Table3[[#This Row],[Stage]],FIND(".",Table3[[#This Row],[Stage]],1)-1)</f>
        <v>7</v>
      </c>
      <c r="V305" s="31" t="str">
        <f>VLOOKUP(ABS(Table3[[#This Row],[Type]]),[1]!Table9[#All],2)</f>
        <v>Carpentry</v>
      </c>
    </row>
    <row r="306" spans="1:22" x14ac:dyDescent="0.45">
      <c r="A306" s="24">
        <v>44475</v>
      </c>
      <c r="B306" t="s">
        <v>378</v>
      </c>
      <c r="C306" s="34">
        <v>7.36</v>
      </c>
      <c r="D306" s="1" t="s">
        <v>279</v>
      </c>
      <c r="E306" t="s">
        <v>82</v>
      </c>
      <c r="F306" s="58"/>
      <c r="G306" s="126">
        <v>1</v>
      </c>
      <c r="H306" s="58">
        <v>3071.13</v>
      </c>
      <c r="I306" s="58"/>
      <c r="J306" s="109">
        <f>(Table3[[#This Row],[QTY]]*Table3[[#This Row],[Supplies Cost]])+Table3[[#This Row],[Tax/Fees]]</f>
        <v>3071.13</v>
      </c>
      <c r="L306" s="4" t="s">
        <v>33</v>
      </c>
      <c r="M306" s="1" t="s">
        <v>47</v>
      </c>
      <c r="N306" s="40"/>
      <c r="O306" s="40"/>
      <c r="P306" s="40"/>
      <c r="Q306" s="40"/>
      <c r="R306" s="40">
        <v>7.3613850000000003</v>
      </c>
      <c r="S306" s="40"/>
      <c r="T306" s="31" t="s">
        <v>160</v>
      </c>
      <c r="U306" s="31" t="str">
        <f>LEFT(Table3[[#This Row],[Stage]],FIND(".",Table3[[#This Row],[Stage]],1)-1)</f>
        <v>7</v>
      </c>
      <c r="V306" s="31" t="str">
        <f>VLOOKUP(ABS(Table3[[#This Row],[Type]]),[1]!Table9[#All],2)</f>
        <v>Carpentry</v>
      </c>
    </row>
    <row r="307" spans="1:22" x14ac:dyDescent="0.45">
      <c r="A307" s="24">
        <v>44481</v>
      </c>
      <c r="B307" s="56" t="s">
        <v>379</v>
      </c>
      <c r="C307" s="34">
        <v>7.36</v>
      </c>
      <c r="D307" s="40" t="s">
        <v>279</v>
      </c>
      <c r="E307" s="56" t="s">
        <v>71</v>
      </c>
      <c r="F307" s="58"/>
      <c r="G307" s="126">
        <v>1</v>
      </c>
      <c r="H307" s="58">
        <v>185.29999999999995</v>
      </c>
      <c r="I307" s="58"/>
      <c r="J307" s="109">
        <f>(Table3[[#This Row],[QTY]]*Table3[[#This Row],[Supplies Cost]])+Table3[[#This Row],[Tax/Fees]]</f>
        <v>185.29999999999995</v>
      </c>
      <c r="K307" s="164">
        <v>740.05</v>
      </c>
      <c r="L307" s="154" t="s">
        <v>33</v>
      </c>
      <c r="M307" s="31" t="s">
        <v>47</v>
      </c>
      <c r="N307" s="40"/>
      <c r="O307" s="40" t="s">
        <v>380</v>
      </c>
      <c r="P307" s="40"/>
      <c r="Q307" s="40"/>
      <c r="R307" s="40">
        <v>7.3614550000000003</v>
      </c>
      <c r="S307" s="40"/>
      <c r="T307" s="31" t="s">
        <v>354</v>
      </c>
      <c r="U307" s="40" t="str">
        <f>LEFT(Table3[[#This Row],[Stage]],FIND(".",Table3[[#This Row],[Stage]],1)-1)</f>
        <v>7</v>
      </c>
      <c r="V307" s="31" t="str">
        <f>VLOOKUP(ABS(Table3[[#This Row],[Type]]),[1]!Table9[#All],2)</f>
        <v>Carpentry</v>
      </c>
    </row>
    <row r="308" spans="1:22" x14ac:dyDescent="0.45">
      <c r="A308" s="24">
        <v>44481</v>
      </c>
      <c r="B308" s="56" t="s">
        <v>381</v>
      </c>
      <c r="C308" s="34">
        <v>7.36</v>
      </c>
      <c r="D308" s="1" t="s">
        <v>279</v>
      </c>
      <c r="E308" s="56" t="s">
        <v>71</v>
      </c>
      <c r="F308" s="58"/>
      <c r="G308" s="126">
        <v>35</v>
      </c>
      <c r="H308" s="58">
        <v>14.85</v>
      </c>
      <c r="I308" s="58">
        <v>35</v>
      </c>
      <c r="J308" s="109">
        <f>(Table3[[#This Row],[QTY]]*Table3[[#This Row],[Supplies Cost]])+Table3[[#This Row],[Tax/Fees]]</f>
        <v>554.75</v>
      </c>
      <c r="K308" s="40"/>
      <c r="L308" s="154" t="s">
        <v>92</v>
      </c>
      <c r="M308" s="40" t="s">
        <v>47</v>
      </c>
      <c r="N308" s="40"/>
      <c r="O308" s="40" t="s">
        <v>380</v>
      </c>
      <c r="P308" s="40"/>
      <c r="Q308" s="40"/>
      <c r="R308" s="40"/>
      <c r="S308" s="40"/>
      <c r="T308" s="40" t="s">
        <v>269</v>
      </c>
      <c r="U308" s="40" t="str">
        <f>LEFT(Table3[[#This Row],[Stage]],FIND(".",Table3[[#This Row],[Stage]],1)-1)</f>
        <v>7</v>
      </c>
      <c r="V308" s="31" t="str">
        <f>VLOOKUP(ABS(Table3[[#This Row],[Type]]),[1]!Table9[#All],2)</f>
        <v>Carpentry</v>
      </c>
    </row>
    <row r="309" spans="1:22" x14ac:dyDescent="0.45">
      <c r="A309" s="24">
        <v>44481</v>
      </c>
      <c r="B309" s="56" t="s">
        <v>382</v>
      </c>
      <c r="C309" s="34">
        <v>1.1100000000000001</v>
      </c>
      <c r="D309" s="152" t="s">
        <v>122</v>
      </c>
      <c r="E309" s="56" t="s">
        <v>346</v>
      </c>
      <c r="F309" s="28"/>
      <c r="G309" s="29">
        <v>1</v>
      </c>
      <c r="H309" s="28">
        <v>80000</v>
      </c>
      <c r="I309" s="30">
        <v>-250</v>
      </c>
      <c r="J309" s="109">
        <f>(Table3[[#This Row],[QTY]]*Table3[[#This Row],[Supplies Cost]])+Table3[[#This Row],[Tax/Fees]]</f>
        <v>79750</v>
      </c>
      <c r="K309" s="40"/>
      <c r="L309" s="154" t="s">
        <v>33</v>
      </c>
      <c r="M309" s="40" t="s">
        <v>124</v>
      </c>
      <c r="N309" s="31"/>
      <c r="O309" s="40"/>
      <c r="P309" s="31"/>
      <c r="Q309" s="31"/>
      <c r="R309" s="31"/>
      <c r="S309" s="31"/>
      <c r="T309" s="31" t="s">
        <v>60</v>
      </c>
      <c r="U309" s="31" t="str">
        <f>LEFT(Table3[[#This Row],[Stage]],FIND(".",Table3[[#This Row],[Stage]],1)-1)</f>
        <v>1</v>
      </c>
      <c r="V309" s="31" t="str">
        <f>VLOOKUP(ABS(Table3[[#This Row],[Type]]),[1]!Table9[#All],2)</f>
        <v>Transfers</v>
      </c>
    </row>
    <row r="310" spans="1:22" x14ac:dyDescent="0.45">
      <c r="A310" s="24">
        <v>44482</v>
      </c>
      <c r="B310" s="56" t="s">
        <v>383</v>
      </c>
      <c r="C310" s="34">
        <v>3.75</v>
      </c>
      <c r="D310" s="1" t="s">
        <v>177</v>
      </c>
      <c r="E310" s="56" t="s">
        <v>64</v>
      </c>
      <c r="F310" s="58"/>
      <c r="G310" s="126">
        <v>1</v>
      </c>
      <c r="H310" s="58">
        <v>1300</v>
      </c>
      <c r="I310" s="28"/>
      <c r="J310" s="109">
        <f>(Table3[[#This Row],[QTY]]*Table3[[#This Row],[Supplies Cost]])+Table3[[#This Row],[Tax/Fees]]</f>
        <v>1300</v>
      </c>
      <c r="K310" s="40"/>
      <c r="L310" s="154" t="s">
        <v>92</v>
      </c>
      <c r="M310" s="40" t="s">
        <v>47</v>
      </c>
      <c r="N310" s="31"/>
      <c r="O310" s="31">
        <v>1013202104</v>
      </c>
      <c r="P310" s="31"/>
      <c r="Q310" s="31"/>
      <c r="R310" s="31"/>
      <c r="S310" s="31"/>
      <c r="T310" s="31" t="s">
        <v>236</v>
      </c>
      <c r="U310" s="31" t="str">
        <f>LEFT(Table3[[#This Row],[Stage]],FIND(".",Table3[[#This Row],[Stage]],1)-1)</f>
        <v>3</v>
      </c>
      <c r="V310" s="31" t="str">
        <f>VLOOKUP(ABS(Table3[[#This Row],[Type]]),[1]!Table9[#All],2)</f>
        <v>Masonary</v>
      </c>
    </row>
    <row r="311" spans="1:22" x14ac:dyDescent="0.45">
      <c r="A311" s="24">
        <v>44482</v>
      </c>
      <c r="B311" s="56" t="s">
        <v>384</v>
      </c>
      <c r="C311" s="34">
        <v>3.75</v>
      </c>
      <c r="D311" s="1" t="s">
        <v>177</v>
      </c>
      <c r="E311" s="56" t="s">
        <v>64</v>
      </c>
      <c r="F311" s="28"/>
      <c r="G311" s="29">
        <v>1</v>
      </c>
      <c r="H311" s="28">
        <v>950</v>
      </c>
      <c r="I311" s="28"/>
      <c r="J311" s="109">
        <f>(Table3[[#This Row],[QTY]]*Table3[[#This Row],[Supplies Cost]])+Table3[[#This Row],[Tax/Fees]]</f>
        <v>950</v>
      </c>
      <c r="K311" s="164">
        <v>2250</v>
      </c>
      <c r="L311" s="154" t="s">
        <v>33</v>
      </c>
      <c r="M311" s="40" t="s">
        <v>47</v>
      </c>
      <c r="N311" s="31"/>
      <c r="O311" s="31">
        <v>1013202104</v>
      </c>
      <c r="P311" s="31"/>
      <c r="Q311" s="31"/>
      <c r="R311" s="31">
        <v>3.75142</v>
      </c>
      <c r="S311" s="31"/>
      <c r="T311" s="31" t="s">
        <v>236</v>
      </c>
      <c r="U311" s="31" t="str">
        <f>LEFT(Table3[[#This Row],[Stage]],FIND(".",Table3[[#This Row],[Stage]],1)-1)</f>
        <v>3</v>
      </c>
      <c r="V311" s="31" t="str">
        <f>VLOOKUP(ABS(Table3[[#This Row],[Type]]),[1]!Table9[#All],2)</f>
        <v>Masonary</v>
      </c>
    </row>
    <row r="312" spans="1:22" x14ac:dyDescent="0.45">
      <c r="A312" s="24">
        <v>44482</v>
      </c>
      <c r="B312" t="s">
        <v>385</v>
      </c>
      <c r="C312" s="34">
        <v>3.06</v>
      </c>
      <c r="D312" s="1" t="s">
        <v>374</v>
      </c>
      <c r="E312" t="s">
        <v>165</v>
      </c>
      <c r="F312" s="58"/>
      <c r="G312" s="126">
        <v>1</v>
      </c>
      <c r="H312" s="58">
        <v>2073.87</v>
      </c>
      <c r="I312" s="28"/>
      <c r="J312" s="109">
        <f>(Table3[[#This Row],[QTY]]*Table3[[#This Row],[Supplies Cost]])+Table3[[#This Row],[Tax/Fees]]</f>
        <v>2073.87</v>
      </c>
      <c r="K312" s="40"/>
      <c r="L312" s="154" t="s">
        <v>33</v>
      </c>
      <c r="M312" s="40" t="s">
        <v>47</v>
      </c>
      <c r="N312" s="31"/>
      <c r="O312" s="31"/>
      <c r="P312" s="31"/>
      <c r="Q312" s="31" t="s">
        <v>120</v>
      </c>
      <c r="R312" s="31">
        <v>3.0614249999999998</v>
      </c>
      <c r="S312" s="31"/>
      <c r="T312" s="31" t="s">
        <v>280</v>
      </c>
      <c r="U312" s="31" t="str">
        <f>LEFT(Table3[[#This Row],[Stage]],FIND(".",Table3[[#This Row],[Stage]],1)-1)</f>
        <v>3</v>
      </c>
      <c r="V312" s="31" t="str">
        <f>VLOOKUP(ABS(Table3[[#This Row],[Type]]),[1]!Table9[#All],2)</f>
        <v>Masonary</v>
      </c>
    </row>
    <row r="313" spans="1:22" x14ac:dyDescent="0.4">
      <c r="A313" s="24">
        <v>44484</v>
      </c>
      <c r="B313" s="167" t="s">
        <v>386</v>
      </c>
      <c r="C313" s="57">
        <v>7.36</v>
      </c>
      <c r="D313" s="1" t="s">
        <v>279</v>
      </c>
      <c r="E313" s="56" t="s">
        <v>116</v>
      </c>
      <c r="F313" s="28"/>
      <c r="G313" s="29">
        <v>1</v>
      </c>
      <c r="H313" s="28">
        <v>246.75</v>
      </c>
      <c r="I313" s="28"/>
      <c r="J313" s="109">
        <f>(Table3[[#This Row],[QTY]]*Table3[[#This Row],[Supplies Cost]])+Table3[[#This Row],[Tax/Fees]]</f>
        <v>246.75</v>
      </c>
      <c r="K313" s="164">
        <v>575.75</v>
      </c>
      <c r="L313" s="154" t="s">
        <v>33</v>
      </c>
      <c r="M313" s="40" t="s">
        <v>77</v>
      </c>
      <c r="N313" s="31"/>
      <c r="O313" s="31" t="s">
        <v>387</v>
      </c>
      <c r="P313" s="31"/>
      <c r="Q313" s="31"/>
      <c r="R313" s="31">
        <v>7.3614350000000002</v>
      </c>
      <c r="S313" s="31"/>
      <c r="T313" s="31" t="s">
        <v>292</v>
      </c>
      <c r="U313" s="31" t="str">
        <f>LEFT(Table3[[#This Row],[Stage]],FIND(".",Table3[[#This Row],[Stage]],1)-1)</f>
        <v>7</v>
      </c>
      <c r="V313" s="31" t="str">
        <f>VLOOKUP(ABS(Table3[[#This Row],[Type]]),[1]!Table9[#All],2)</f>
        <v>Carpentry</v>
      </c>
    </row>
    <row r="314" spans="1:22" x14ac:dyDescent="0.4">
      <c r="A314" s="24">
        <v>44484</v>
      </c>
      <c r="B314" s="168" t="s">
        <v>388</v>
      </c>
      <c r="C314" s="57">
        <v>7.36</v>
      </c>
      <c r="D314" s="1" t="s">
        <v>279</v>
      </c>
      <c r="E314" s="56" t="s">
        <v>116</v>
      </c>
      <c r="F314" s="28"/>
      <c r="G314" s="29">
        <v>1</v>
      </c>
      <c r="H314" s="28">
        <v>329</v>
      </c>
      <c r="I314" s="28"/>
      <c r="J314" s="109">
        <f>(Table3[[#This Row],[QTY]]*Table3[[#This Row],[Supplies Cost]])+Table3[[#This Row],[Tax/Fees]]</f>
        <v>329</v>
      </c>
      <c r="K314" s="40"/>
      <c r="L314" s="154" t="s">
        <v>92</v>
      </c>
      <c r="M314" s="40" t="s">
        <v>77</v>
      </c>
      <c r="N314" s="31"/>
      <c r="O314" s="31" t="s">
        <v>387</v>
      </c>
      <c r="P314" s="31"/>
      <c r="Q314" s="31"/>
      <c r="R314" s="31"/>
      <c r="S314" s="31"/>
      <c r="T314" s="31" t="s">
        <v>292</v>
      </c>
      <c r="U314" s="31" t="str">
        <f>LEFT(Table3[[#This Row],[Stage]],FIND(".",Table3[[#This Row],[Stage]],1)-1)</f>
        <v>7</v>
      </c>
      <c r="V314" s="31" t="str">
        <f>VLOOKUP(ABS(Table3[[#This Row],[Type]]),[1]!Table9[#All],2)</f>
        <v>Carpentry</v>
      </c>
    </row>
    <row r="315" spans="1:22" x14ac:dyDescent="0.45">
      <c r="A315" s="24">
        <v>44488</v>
      </c>
      <c r="B315" t="s">
        <v>389</v>
      </c>
      <c r="C315" s="57">
        <v>8.0399999999999991</v>
      </c>
      <c r="D315" s="152" t="s">
        <v>45</v>
      </c>
      <c r="E315" s="56" t="s">
        <v>127</v>
      </c>
      <c r="F315" s="28"/>
      <c r="G315" s="29">
        <v>1</v>
      </c>
      <c r="H315" s="28">
        <v>611</v>
      </c>
      <c r="I315" s="28"/>
      <c r="J315" s="109">
        <f>(Table3[[#This Row],[QTY]]*Table3[[#This Row],[Supplies Cost]])+Table3[[#This Row],[Tax/Fees]]</f>
        <v>611</v>
      </c>
      <c r="K315" s="40"/>
      <c r="L315" s="154" t="s">
        <v>33</v>
      </c>
      <c r="M315" s="40" t="s">
        <v>77</v>
      </c>
      <c r="N315" s="31"/>
      <c r="O315" s="31"/>
      <c r="P315" s="31"/>
      <c r="Q315" s="31"/>
      <c r="R315" s="31">
        <v>8.0414449999999995</v>
      </c>
      <c r="S315" s="31"/>
      <c r="T315" s="31" t="s">
        <v>129</v>
      </c>
      <c r="U315" s="31" t="str">
        <f>LEFT(Table3[[#This Row],[Stage]],FIND(".",Table3[[#This Row],[Stage]],1)-1)</f>
        <v>8</v>
      </c>
      <c r="V315" s="31" t="str">
        <f>VLOOKUP(ABS(Table3[[#This Row],[Type]]),[1]!Table9[#All],2)</f>
        <v>Administrative</v>
      </c>
    </row>
    <row r="316" spans="1:22" x14ac:dyDescent="0.45">
      <c r="A316" s="24">
        <v>44488</v>
      </c>
      <c r="B316" s="56" t="s">
        <v>390</v>
      </c>
      <c r="C316" s="34">
        <v>7.36</v>
      </c>
      <c r="D316" s="31" t="s">
        <v>199</v>
      </c>
      <c r="E316" s="56" t="s">
        <v>391</v>
      </c>
      <c r="F316" s="28"/>
      <c r="G316" s="29">
        <v>23</v>
      </c>
      <c r="H316" s="28">
        <v>170</v>
      </c>
      <c r="I316" s="28">
        <v>160</v>
      </c>
      <c r="J316" s="109">
        <f>(Table3[[#This Row],[QTY]]*Table3[[#This Row],[Supplies Cost]])+Table3[[#This Row],[Tax/Fees]]</f>
        <v>4070</v>
      </c>
      <c r="K316" s="40"/>
      <c r="L316" s="154" t="s">
        <v>33</v>
      </c>
      <c r="M316" s="40" t="s">
        <v>77</v>
      </c>
      <c r="N316" s="31"/>
      <c r="O316" s="31">
        <v>2021288</v>
      </c>
      <c r="P316" s="31"/>
      <c r="Q316" s="31"/>
      <c r="R316" s="31">
        <v>7.36144</v>
      </c>
      <c r="S316" s="31"/>
      <c r="T316" s="31" t="s">
        <v>244</v>
      </c>
      <c r="U316" s="31" t="str">
        <f>LEFT(Table3[[#This Row],[Stage]],FIND(".",Table3[[#This Row],[Stage]],1)-1)</f>
        <v>7</v>
      </c>
      <c r="V316" s="31" t="str">
        <f>VLOOKUP(ABS(Table3[[#This Row],[Type]]),[1]!Table9[#All],2)</f>
        <v>Carpentry</v>
      </c>
    </row>
    <row r="317" spans="1:22" x14ac:dyDescent="0.45">
      <c r="A317" s="24">
        <v>44489</v>
      </c>
      <c r="B317" s="56" t="s">
        <v>392</v>
      </c>
      <c r="C317" s="57">
        <v>3.1</v>
      </c>
      <c r="D317" s="1" t="s">
        <v>279</v>
      </c>
      <c r="E317" s="56" t="s">
        <v>239</v>
      </c>
      <c r="F317" s="28"/>
      <c r="G317" s="29">
        <v>1</v>
      </c>
      <c r="H317" s="28">
        <v>350</v>
      </c>
      <c r="I317" s="28"/>
      <c r="J317" s="109">
        <f>(Table3[[#This Row],[QTY]]*Table3[[#This Row],[Supplies Cost]])+Table3[[#This Row],[Tax/Fees]]</f>
        <v>350</v>
      </c>
      <c r="K317" s="40"/>
      <c r="L317" s="154" t="s">
        <v>33</v>
      </c>
      <c r="M317" s="40" t="s">
        <v>47</v>
      </c>
      <c r="N317" s="31"/>
      <c r="O317" s="31"/>
      <c r="P317" s="31"/>
      <c r="Q317" s="31"/>
      <c r="R317" s="31">
        <v>3.1147499999999999</v>
      </c>
      <c r="S317" s="31"/>
      <c r="T317" s="31" t="s">
        <v>236</v>
      </c>
      <c r="U317" s="31" t="str">
        <f>LEFT(Table3[[#This Row],[Stage]],FIND(".",Table3[[#This Row],[Stage]],1)-1)</f>
        <v>3</v>
      </c>
      <c r="V317" s="31" t="str">
        <f>VLOOKUP(ABS(Table3[[#This Row],[Type]]),[1]!Table9[#All],2)</f>
        <v>Masonary</v>
      </c>
    </row>
    <row r="318" spans="1:22" x14ac:dyDescent="0.45">
      <c r="A318" s="24">
        <v>44489</v>
      </c>
      <c r="B318" s="56" t="s">
        <v>393</v>
      </c>
      <c r="C318" s="57">
        <v>7.36</v>
      </c>
      <c r="D318" s="1" t="s">
        <v>279</v>
      </c>
      <c r="E318" s="56" t="s">
        <v>71</v>
      </c>
      <c r="F318" s="28"/>
      <c r="G318" s="29">
        <v>1</v>
      </c>
      <c r="H318" s="28">
        <v>35</v>
      </c>
      <c r="I318" s="28"/>
      <c r="J318" s="109">
        <f>(Table3[[#This Row],[QTY]]*Table3[[#This Row],[Supplies Cost]])+Table3[[#This Row],[Tax/Fees]]</f>
        <v>35</v>
      </c>
      <c r="K318" s="164">
        <v>651.83000000000004</v>
      </c>
      <c r="L318" s="154" t="s">
        <v>33</v>
      </c>
      <c r="M318" s="40" t="s">
        <v>47</v>
      </c>
      <c r="N318" s="31"/>
      <c r="O318" s="31" t="s">
        <v>394</v>
      </c>
      <c r="P318" s="31"/>
      <c r="Q318" s="31" t="s">
        <v>102</v>
      </c>
      <c r="R318" s="31">
        <v>7.3614649999999999</v>
      </c>
      <c r="S318" s="31"/>
      <c r="T318" s="31" t="s">
        <v>236</v>
      </c>
      <c r="U318" s="31" t="str">
        <f>LEFT(Table3[[#This Row],[Stage]],FIND(".",Table3[[#This Row],[Stage]],1)-1)</f>
        <v>7</v>
      </c>
      <c r="V318" s="31" t="str">
        <f>VLOOKUP(ABS(Table3[[#This Row],[Type]]),[1]!Table9[#All],2)</f>
        <v>Carpentry</v>
      </c>
    </row>
    <row r="319" spans="1:22" x14ac:dyDescent="0.45">
      <c r="A319" s="24">
        <v>44489</v>
      </c>
      <c r="B319" s="56" t="s">
        <v>381</v>
      </c>
      <c r="C319" s="57">
        <v>7.36</v>
      </c>
      <c r="D319" s="40" t="s">
        <v>279</v>
      </c>
      <c r="E319" s="56" t="s">
        <v>71</v>
      </c>
      <c r="F319" s="28"/>
      <c r="G319" s="29">
        <v>35</v>
      </c>
      <c r="H319" s="28">
        <v>14.85</v>
      </c>
      <c r="I319" s="28">
        <v>97.08</v>
      </c>
      <c r="J319" s="109">
        <f>(Table3[[#This Row],[QTY]]*Table3[[#This Row],[Supplies Cost]])+Table3[[#This Row],[Tax/Fees]]</f>
        <v>616.83000000000004</v>
      </c>
      <c r="K319" s="40"/>
      <c r="L319" s="154" t="s">
        <v>92</v>
      </c>
      <c r="M319" s="31" t="s">
        <v>47</v>
      </c>
      <c r="N319" s="31"/>
      <c r="O319" s="31" t="s">
        <v>394</v>
      </c>
      <c r="P319" s="31"/>
      <c r="Q319" s="31" t="s">
        <v>102</v>
      </c>
      <c r="R319" s="31"/>
      <c r="S319" s="31"/>
      <c r="T319" s="31" t="s">
        <v>236</v>
      </c>
      <c r="U319" s="31" t="str">
        <f>LEFT(Table3[[#This Row],[Stage]],FIND(".",Table3[[#This Row],[Stage]],1)-1)</f>
        <v>7</v>
      </c>
      <c r="V319" s="31" t="str">
        <f>VLOOKUP(ABS(Table3[[#This Row],[Type]]),[1]!Table9[#All],2)</f>
        <v>Carpentry</v>
      </c>
    </row>
    <row r="320" spans="1:22" x14ac:dyDescent="0.45">
      <c r="A320" s="24">
        <v>44489</v>
      </c>
      <c r="B320" s="56" t="s">
        <v>395</v>
      </c>
      <c r="C320" s="34">
        <v>7.36</v>
      </c>
      <c r="D320" s="1" t="s">
        <v>199</v>
      </c>
      <c r="E320" s="56" t="s">
        <v>391</v>
      </c>
      <c r="F320" s="28"/>
      <c r="G320" s="29">
        <v>23</v>
      </c>
      <c r="H320" s="28">
        <v>70</v>
      </c>
      <c r="I320" s="28"/>
      <c r="J320" s="109">
        <f>(Table3[[#This Row],[QTY]]*Table3[[#This Row],[Supplies Cost]])+Table3[[#This Row],[Tax/Fees]]</f>
        <v>1610</v>
      </c>
      <c r="K320" s="40"/>
      <c r="L320" s="154" t="s">
        <v>33</v>
      </c>
      <c r="M320" s="40" t="s">
        <v>77</v>
      </c>
      <c r="N320" s="31"/>
      <c r="O320" s="31" t="s">
        <v>396</v>
      </c>
      <c r="P320" s="31"/>
      <c r="Q320" s="31"/>
      <c r="R320" s="31">
        <v>7.3614699999999997</v>
      </c>
      <c r="S320" s="31"/>
      <c r="T320" s="31" t="s">
        <v>236</v>
      </c>
      <c r="U320" s="31" t="str">
        <f>LEFT(Table3[[#This Row],[Stage]],FIND(".",Table3[[#This Row],[Stage]],1)-1)</f>
        <v>7</v>
      </c>
      <c r="V320" s="31" t="str">
        <f>VLOOKUP(ABS(Table3[[#This Row],[Type]]),[1]!Table9[#All],2)</f>
        <v>Carpentry</v>
      </c>
    </row>
    <row r="321" spans="1:22" x14ac:dyDescent="0.45">
      <c r="A321" s="24">
        <v>44490</v>
      </c>
      <c r="B321" s="56" t="s">
        <v>397</v>
      </c>
      <c r="C321" s="34">
        <v>7.5</v>
      </c>
      <c r="D321" s="31" t="s">
        <v>374</v>
      </c>
      <c r="E321" s="56" t="s">
        <v>69</v>
      </c>
      <c r="F321" s="28"/>
      <c r="G321" s="29">
        <v>1</v>
      </c>
      <c r="H321" s="28">
        <v>3754.5</v>
      </c>
      <c r="I321" s="28"/>
      <c r="J321" s="109">
        <f>(Table3[[#This Row],[QTY]]*Table3[[#This Row],[Supplies Cost]])+Table3[[#This Row],[Tax/Fees]]</f>
        <v>3754.5</v>
      </c>
      <c r="K321" s="40"/>
      <c r="L321" s="154" t="s">
        <v>92</v>
      </c>
      <c r="M321" s="40" t="s">
        <v>34</v>
      </c>
      <c r="N321" s="31"/>
      <c r="O321" s="31">
        <v>21102101</v>
      </c>
      <c r="P321" s="31"/>
      <c r="Q321" s="31"/>
      <c r="R321" s="31"/>
      <c r="S321" s="31"/>
      <c r="T321" s="31" t="s">
        <v>280</v>
      </c>
      <c r="U321" s="31" t="str">
        <f>LEFT(Table3[[#This Row],[Stage]],FIND(".",Table3[[#This Row],[Stage]],1)-1)</f>
        <v>7</v>
      </c>
      <c r="V321" s="31" t="str">
        <f>VLOOKUP(ABS(Table3[[#This Row],[Type]]),[1]!Table9[#All],2)</f>
        <v>Carpentry</v>
      </c>
    </row>
    <row r="322" spans="1:22" ht="30.75" x14ac:dyDescent="0.45">
      <c r="A322" s="24">
        <v>44490</v>
      </c>
      <c r="B322" t="s">
        <v>398</v>
      </c>
      <c r="C322" s="57">
        <v>13.38</v>
      </c>
      <c r="D322" s="1" t="s">
        <v>399</v>
      </c>
      <c r="E322" s="56" t="s">
        <v>69</v>
      </c>
      <c r="F322" s="28"/>
      <c r="G322" s="29">
        <v>1</v>
      </c>
      <c r="H322" s="28">
        <v>2850</v>
      </c>
      <c r="I322" s="28"/>
      <c r="J322" s="109">
        <f>(Table3[[#This Row],[QTY]]*Table3[[#This Row],[Supplies Cost]])+Table3[[#This Row],[Tax/Fees]]</f>
        <v>2850</v>
      </c>
      <c r="K322" s="164">
        <v>6604.5</v>
      </c>
      <c r="L322" s="154" t="s">
        <v>33</v>
      </c>
      <c r="M322" s="40" t="s">
        <v>34</v>
      </c>
      <c r="N322" s="31"/>
      <c r="O322" s="31">
        <v>21102101</v>
      </c>
      <c r="P322" s="31"/>
      <c r="Q322" s="31"/>
      <c r="R322" s="31">
        <v>13.381485</v>
      </c>
      <c r="S322" s="31"/>
      <c r="T322" s="31" t="s">
        <v>400</v>
      </c>
      <c r="U322" s="31" t="str">
        <f>LEFT(Table3[[#This Row],[Stage]],FIND(".",Table3[[#This Row],[Stage]],1)-1)</f>
        <v>13</v>
      </c>
      <c r="V322" s="31" t="str">
        <f>VLOOKUP(ABS(Table3[[#This Row],[Type]]),[1]!Table9[#All],2)</f>
        <v>Electrical</v>
      </c>
    </row>
    <row r="323" spans="1:22" x14ac:dyDescent="0.45">
      <c r="A323" s="24">
        <v>44490</v>
      </c>
      <c r="B323" s="56" t="s">
        <v>401</v>
      </c>
      <c r="C323" s="34">
        <v>8.0399999999999991</v>
      </c>
      <c r="D323" s="152" t="s">
        <v>144</v>
      </c>
      <c r="E323" s="58" t="s">
        <v>104</v>
      </c>
      <c r="F323" s="28"/>
      <c r="G323" s="29">
        <v>1</v>
      </c>
      <c r="H323" s="28">
        <v>11.2</v>
      </c>
      <c r="I323" s="28"/>
      <c r="J323" s="109">
        <f>(Table3[[#This Row],[QTY]]*Table3[[#This Row],[Supplies Cost]])+Table3[[#This Row],[Tax/Fees]]</f>
        <v>11.2</v>
      </c>
      <c r="K323" s="40"/>
      <c r="L323" s="154" t="s">
        <v>33</v>
      </c>
      <c r="M323" s="40" t="s">
        <v>77</v>
      </c>
      <c r="N323" s="31"/>
      <c r="O323" s="31"/>
      <c r="P323" s="31"/>
      <c r="Q323" s="31"/>
      <c r="R323" s="31">
        <v>8.0414899999999996</v>
      </c>
      <c r="S323" s="31"/>
      <c r="T323" s="31" t="s">
        <v>60</v>
      </c>
      <c r="U323" s="31" t="str">
        <f>LEFT(Table3[[#This Row],[Stage]],FIND(".",Table3[[#This Row],[Stage]],1)-1)</f>
        <v>8</v>
      </c>
      <c r="V323" s="31" t="str">
        <f>VLOOKUP(ABS(Table3[[#This Row],[Type]]),[1]!Table9[#All],2)</f>
        <v>Administrative</v>
      </c>
    </row>
    <row r="324" spans="1:22" ht="30.75" x14ac:dyDescent="0.45">
      <c r="A324" s="24">
        <v>44491</v>
      </c>
      <c r="B324" s="56" t="s">
        <v>402</v>
      </c>
      <c r="C324" s="34">
        <v>7.36</v>
      </c>
      <c r="D324" s="1" t="s">
        <v>279</v>
      </c>
      <c r="E324" s="56" t="s">
        <v>69</v>
      </c>
      <c r="F324" s="28"/>
      <c r="G324" s="29">
        <v>1</v>
      </c>
      <c r="H324" s="28">
        <v>90.36</v>
      </c>
      <c r="I324" s="28">
        <v>-6.36</v>
      </c>
      <c r="J324" s="109">
        <f>(Table3[[#This Row],[QTY]]*Table3[[#This Row],[Supplies Cost]])+Table3[[#This Row],[Tax/Fees]]</f>
        <v>84</v>
      </c>
      <c r="K324" s="40"/>
      <c r="L324" s="154" t="s">
        <v>33</v>
      </c>
      <c r="M324" s="40" t="s">
        <v>47</v>
      </c>
      <c r="N324" s="31"/>
      <c r="O324" s="31"/>
      <c r="P324" s="31"/>
      <c r="Q324" s="31"/>
      <c r="R324" s="31">
        <v>7.3615000000000004</v>
      </c>
      <c r="S324" s="31"/>
      <c r="T324" s="31" t="s">
        <v>280</v>
      </c>
      <c r="U324" s="31" t="str">
        <f>LEFT(Table3[[#This Row],[Stage]],FIND(".",Table3[[#This Row],[Stage]],1)-1)</f>
        <v>7</v>
      </c>
      <c r="V324" s="31" t="str">
        <f>VLOOKUP(ABS(Table3[[#This Row],[Type]]),[1]!Table9[#All],2)</f>
        <v>Carpentry</v>
      </c>
    </row>
    <row r="325" spans="1:22" x14ac:dyDescent="0.45">
      <c r="A325" s="24">
        <v>44491</v>
      </c>
      <c r="B325" s="56" t="s">
        <v>403</v>
      </c>
      <c r="C325" s="34">
        <v>7.36</v>
      </c>
      <c r="D325" s="1" t="s">
        <v>279</v>
      </c>
      <c r="E325" s="56" t="s">
        <v>69</v>
      </c>
      <c r="F325" s="28"/>
      <c r="G325" s="29">
        <v>1</v>
      </c>
      <c r="H325" s="28">
        <v>43.36</v>
      </c>
      <c r="I325" s="28">
        <v>-6.36</v>
      </c>
      <c r="J325" s="109">
        <f>(Table3[[#This Row],[QTY]]*Table3[[#This Row],[Supplies Cost]])+Table3[[#This Row],[Tax/Fees]]</f>
        <v>37</v>
      </c>
      <c r="K325" s="40"/>
      <c r="L325" s="154" t="s">
        <v>33</v>
      </c>
      <c r="M325" s="40" t="s">
        <v>34</v>
      </c>
      <c r="N325" s="31"/>
      <c r="O325" s="31"/>
      <c r="P325" s="31"/>
      <c r="Q325" s="31"/>
      <c r="R325" s="31">
        <v>7.3620000000000001</v>
      </c>
      <c r="S325" s="31"/>
      <c r="T325" s="31" t="s">
        <v>280</v>
      </c>
      <c r="U325" s="31" t="str">
        <f>LEFT(Table3[[#This Row],[Stage]],FIND(".",Table3[[#This Row],[Stage]],1)-1)</f>
        <v>7</v>
      </c>
      <c r="V325" s="31" t="str">
        <f>VLOOKUP(ABS(Table3[[#This Row],[Type]]),[1]!Table9[#All],2)</f>
        <v>Carpentry</v>
      </c>
    </row>
    <row r="326" spans="1:22" x14ac:dyDescent="0.45">
      <c r="A326" s="24">
        <v>44491</v>
      </c>
      <c r="B326" t="s">
        <v>404</v>
      </c>
      <c r="C326" s="34">
        <v>7.5</v>
      </c>
      <c r="D326" s="1" t="s">
        <v>374</v>
      </c>
      <c r="E326" s="56" t="s">
        <v>71</v>
      </c>
      <c r="F326" s="28"/>
      <c r="G326" s="29">
        <v>1</v>
      </c>
      <c r="H326" s="28">
        <f>332.28+160.39</f>
        <v>492.66999999999996</v>
      </c>
      <c r="I326" s="28"/>
      <c r="J326" s="109">
        <f>(Table3[[#This Row],[QTY]]*Table3[[#This Row],[Supplies Cost]])+Table3[[#This Row],[Tax/Fees]]</f>
        <v>492.66999999999996</v>
      </c>
      <c r="K326" s="164">
        <v>1118.6400000000001</v>
      </c>
      <c r="L326" s="154" t="s">
        <v>33</v>
      </c>
      <c r="M326" s="40" t="s">
        <v>47</v>
      </c>
      <c r="N326" s="31"/>
      <c r="O326" s="31" t="s">
        <v>405</v>
      </c>
      <c r="P326" s="31"/>
      <c r="Q326" s="31"/>
      <c r="R326" s="31">
        <v>7.5149999999999997</v>
      </c>
      <c r="S326" s="31"/>
      <c r="T326" s="31" t="s">
        <v>280</v>
      </c>
      <c r="U326" s="31" t="str">
        <f>LEFT(Table3[[#This Row],[Stage]],FIND(".",Table3[[#This Row],[Stage]],1)-1)</f>
        <v>7</v>
      </c>
      <c r="V326" s="31" t="str">
        <f>VLOOKUP(ABS(Table3[[#This Row],[Type]]),[1]!Table9[#All],2)</f>
        <v>Carpentry</v>
      </c>
    </row>
    <row r="327" spans="1:22" x14ac:dyDescent="0.45">
      <c r="A327" s="24">
        <v>44491</v>
      </c>
      <c r="B327" s="56" t="s">
        <v>406</v>
      </c>
      <c r="C327" s="57">
        <v>3.75</v>
      </c>
      <c r="D327" s="31" t="s">
        <v>374</v>
      </c>
      <c r="E327" s="56" t="s">
        <v>71</v>
      </c>
      <c r="F327" s="28"/>
      <c r="G327" s="29">
        <v>1</v>
      </c>
      <c r="H327" s="28">
        <v>459.36</v>
      </c>
      <c r="I327" s="28">
        <v>166.61</v>
      </c>
      <c r="J327" s="109">
        <f>(Table3[[#This Row],[QTY]]*Table3[[#This Row],[Supplies Cost]])+Table3[[#This Row],[Tax/Fees]]</f>
        <v>625.97</v>
      </c>
      <c r="K327" s="40"/>
      <c r="L327" s="154" t="s">
        <v>92</v>
      </c>
      <c r="M327" s="40" t="s">
        <v>47</v>
      </c>
      <c r="N327" s="31"/>
      <c r="O327" s="31" t="s">
        <v>405</v>
      </c>
      <c r="P327" s="31"/>
      <c r="Q327" s="31"/>
      <c r="R327" s="31"/>
      <c r="S327" s="31"/>
      <c r="T327" s="31" t="s">
        <v>236</v>
      </c>
      <c r="U327" s="31" t="str">
        <f>LEFT(Table3[[#This Row],[Stage]],FIND(".",Table3[[#This Row],[Stage]],1)-1)</f>
        <v>3</v>
      </c>
      <c r="V327" s="31" t="str">
        <f>VLOOKUP(ABS(Table3[[#This Row],[Type]]),[1]!Table9[#All],2)</f>
        <v>Masonary</v>
      </c>
    </row>
    <row r="328" spans="1:22" x14ac:dyDescent="0.45">
      <c r="A328" s="24">
        <v>44495</v>
      </c>
      <c r="B328" s="56" t="s">
        <v>407</v>
      </c>
      <c r="C328" s="34">
        <v>5.44</v>
      </c>
      <c r="D328" s="152" t="s">
        <v>45</v>
      </c>
      <c r="E328" s="56" t="s">
        <v>76</v>
      </c>
      <c r="F328" s="58"/>
      <c r="G328" s="126">
        <v>1</v>
      </c>
      <c r="H328" s="58">
        <v>600</v>
      </c>
      <c r="I328" s="58"/>
      <c r="J328" s="109">
        <f>(Table3[[#This Row],[QTY]]*Table3[[#This Row],[Supplies Cost]])+Table3[[#This Row],[Tax/Fees]]</f>
        <v>600</v>
      </c>
      <c r="K328" s="40"/>
      <c r="L328" s="154" t="s">
        <v>33</v>
      </c>
      <c r="M328" s="40" t="s">
        <v>77</v>
      </c>
      <c r="N328" s="40"/>
      <c r="O328" s="40"/>
      <c r="P328" s="40"/>
      <c r="Q328" s="40"/>
      <c r="R328" s="40">
        <v>5.4409999999999998</v>
      </c>
      <c r="S328" s="40"/>
      <c r="T328" s="40" t="s">
        <v>79</v>
      </c>
      <c r="U328" s="40" t="str">
        <f>LEFT(Table3[[#This Row],[Stage]],FIND(".",Table3[[#This Row],[Stage]],1)-1)</f>
        <v>5</v>
      </c>
      <c r="V328" s="31" t="str">
        <f>VLOOKUP(ABS(Table3[[#This Row],[Type]]),[1]!Table9[#All],2)</f>
        <v>Earthworks</v>
      </c>
    </row>
    <row r="329" spans="1:22" x14ac:dyDescent="0.45">
      <c r="A329" s="24">
        <v>44496</v>
      </c>
      <c r="B329" s="56" t="s">
        <v>408</v>
      </c>
      <c r="C329" s="127">
        <v>8.0299999999999994</v>
      </c>
      <c r="D329" s="1" t="s">
        <v>144</v>
      </c>
      <c r="E329" s="56" t="s">
        <v>46</v>
      </c>
      <c r="F329" s="58"/>
      <c r="G329" s="126">
        <v>1</v>
      </c>
      <c r="H329" s="58">
        <v>78.069999999999993</v>
      </c>
      <c r="I329" s="58"/>
      <c r="J329" s="109">
        <f>(Table3[[#This Row],[QTY]]*Table3[[#This Row],[Supplies Cost]])+Table3[[#This Row],[Tax/Fees]]</f>
        <v>78.069999999999993</v>
      </c>
      <c r="K329" s="40"/>
      <c r="L329" s="154" t="s">
        <v>33</v>
      </c>
      <c r="M329" s="40" t="s">
        <v>77</v>
      </c>
      <c r="N329" s="40"/>
      <c r="O329" s="40"/>
      <c r="P329" s="40"/>
      <c r="Q329" s="40"/>
      <c r="R329" s="40">
        <v>8.0310000000000006</v>
      </c>
      <c r="S329" s="40"/>
      <c r="T329" s="40" t="s">
        <v>60</v>
      </c>
      <c r="U329" s="40" t="str">
        <f>LEFT(Table3[[#This Row],[Stage]],FIND(".",Table3[[#This Row],[Stage]],1)-1)</f>
        <v>8</v>
      </c>
      <c r="V329" s="31" t="str">
        <f>VLOOKUP(ABS(Table3[[#This Row],[Type]]),[1]!Table9[#All],2)</f>
        <v>Administrative</v>
      </c>
    </row>
    <row r="330" spans="1:22" x14ac:dyDescent="0.45">
      <c r="A330" s="24">
        <v>44501</v>
      </c>
      <c r="B330" s="56" t="s">
        <v>409</v>
      </c>
      <c r="C330" s="57">
        <v>7.36</v>
      </c>
      <c r="D330" s="1" t="s">
        <v>279</v>
      </c>
      <c r="E330" s="56" t="s">
        <v>116</v>
      </c>
      <c r="F330" s="28"/>
      <c r="G330" s="29">
        <v>1</v>
      </c>
      <c r="H330" s="28">
        <v>575.75</v>
      </c>
      <c r="I330" s="28"/>
      <c r="J330" s="109">
        <f>(Table3[[#This Row],[QTY]]*Table3[[#This Row],[Supplies Cost]])+Table3[[#This Row],[Tax/Fees]]</f>
        <v>575.75</v>
      </c>
      <c r="K330" s="40"/>
      <c r="L330" s="154" t="s">
        <v>33</v>
      </c>
      <c r="M330" s="40" t="s">
        <v>77</v>
      </c>
      <c r="N330" s="31"/>
      <c r="O330" s="31"/>
      <c r="P330" s="31"/>
      <c r="Q330" s="31"/>
      <c r="R330" s="31">
        <v>7.3609999999999998</v>
      </c>
      <c r="S330" s="31"/>
      <c r="T330" s="31" t="s">
        <v>244</v>
      </c>
      <c r="U330" s="31" t="str">
        <f>LEFT(Table3[[#This Row],[Stage]],FIND(".",Table3[[#This Row],[Stage]],1)-1)</f>
        <v>7</v>
      </c>
      <c r="V330" s="31" t="str">
        <f>VLOOKUP(ABS(Table3[[#This Row],[Type]]),[1]!Table9[#All],2)</f>
        <v>Carpentry</v>
      </c>
    </row>
    <row r="331" spans="1:22" x14ac:dyDescent="0.45">
      <c r="A331" s="24">
        <v>44502</v>
      </c>
      <c r="B331" s="56" t="s">
        <v>410</v>
      </c>
      <c r="C331" s="57">
        <v>7.36</v>
      </c>
      <c r="D331" s="1" t="s">
        <v>279</v>
      </c>
      <c r="E331" s="56" t="s">
        <v>116</v>
      </c>
      <c r="F331" s="28"/>
      <c r="G331" s="29">
        <v>1</v>
      </c>
      <c r="H331" s="28">
        <v>493.5</v>
      </c>
      <c r="I331" s="28"/>
      <c r="J331" s="109">
        <f>(Table3[[#This Row],[QTY]]*Table3[[#This Row],[Supplies Cost]])+Table3[[#This Row],[Tax/Fees]]</f>
        <v>493.5</v>
      </c>
      <c r="K331" s="40"/>
      <c r="L331" s="154" t="s">
        <v>33</v>
      </c>
      <c r="M331" s="40" t="s">
        <v>77</v>
      </c>
      <c r="N331" s="31"/>
      <c r="O331" s="31"/>
      <c r="P331" s="31"/>
      <c r="Q331" s="31"/>
      <c r="R331" s="31">
        <v>7.3609999999999998</v>
      </c>
      <c r="S331" s="31"/>
      <c r="T331" s="40" t="s">
        <v>244</v>
      </c>
      <c r="U331" s="31" t="str">
        <f>LEFT(Table3[[#This Row],[Stage]],FIND(".",Table3[[#This Row],[Stage]],1)-1)</f>
        <v>7</v>
      </c>
      <c r="V331" s="31" t="str">
        <f>VLOOKUP(ABS(Table3[[#This Row],[Type]]),[1]!Table9[#All],2)</f>
        <v>Carpentry</v>
      </c>
    </row>
    <row r="332" spans="1:22" x14ac:dyDescent="0.45">
      <c r="A332" s="24">
        <v>44502</v>
      </c>
      <c r="B332" s="56" t="s">
        <v>339</v>
      </c>
      <c r="C332" s="57">
        <v>7.36</v>
      </c>
      <c r="D332" s="90" t="s">
        <v>279</v>
      </c>
      <c r="E332" s="56" t="s">
        <v>71</v>
      </c>
      <c r="F332" s="28"/>
      <c r="G332" s="29">
        <v>1</v>
      </c>
      <c r="H332" s="28">
        <v>651.83000000000004</v>
      </c>
      <c r="I332" s="28"/>
      <c r="J332" s="109">
        <f>(Table3[[#This Row],[QTY]]*Table3[[#This Row],[Supplies Cost]])+Table3[[#This Row],[Tax/Fees]]</f>
        <v>651.83000000000004</v>
      </c>
      <c r="K332" s="40"/>
      <c r="L332" s="154" t="s">
        <v>33</v>
      </c>
      <c r="M332" s="40" t="s">
        <v>47</v>
      </c>
      <c r="N332" s="31"/>
      <c r="O332" s="31"/>
      <c r="P332" s="31"/>
      <c r="Q332" s="31"/>
      <c r="R332" s="31">
        <v>3.1615000000000002</v>
      </c>
      <c r="S332" s="31"/>
      <c r="T332" s="31" t="s">
        <v>236</v>
      </c>
      <c r="U332" s="31" t="str">
        <f>LEFT(Table3[[#This Row],[Stage]],FIND(".",Table3[[#This Row],[Stage]],1)-1)</f>
        <v>7</v>
      </c>
      <c r="V332" s="31" t="str">
        <f>VLOOKUP(ABS(Table3[[#This Row],[Type]]),[1]!Table9[#All],2)</f>
        <v>Carpentry</v>
      </c>
    </row>
    <row r="333" spans="1:22" x14ac:dyDescent="0.45">
      <c r="A333" s="24">
        <v>44503</v>
      </c>
      <c r="B333" s="56" t="s">
        <v>411</v>
      </c>
      <c r="C333" s="34">
        <v>7.36</v>
      </c>
      <c r="D333" s="1" t="s">
        <v>279</v>
      </c>
      <c r="E333" s="56" t="s">
        <v>69</v>
      </c>
      <c r="F333" s="28"/>
      <c r="G333" s="29">
        <v>1</v>
      </c>
      <c r="H333" s="28">
        <v>50.06</v>
      </c>
      <c r="I333" s="28"/>
      <c r="J333" s="109">
        <f>(Table3[[#This Row],[QTY]]*Table3[[#This Row],[Supplies Cost]])+Table3[[#This Row],[Tax/Fees]]</f>
        <v>50.06</v>
      </c>
      <c r="K333" s="40"/>
      <c r="L333" s="154" t="s">
        <v>33</v>
      </c>
      <c r="M333" s="40" t="s">
        <v>47</v>
      </c>
      <c r="N333" s="31"/>
      <c r="O333" s="31"/>
      <c r="P333" s="31"/>
      <c r="Q333" s="31"/>
      <c r="R333" s="31">
        <v>7.3635000000000002</v>
      </c>
      <c r="S333" s="31"/>
      <c r="T333" s="40" t="s">
        <v>280</v>
      </c>
      <c r="U333" s="31" t="str">
        <f>LEFT(Table3[[#This Row],[Stage]],FIND(".",Table3[[#This Row],[Stage]],1)-1)</f>
        <v>7</v>
      </c>
      <c r="V333" s="31" t="str">
        <f>VLOOKUP(ABS(Table3[[#This Row],[Type]]),[1]!Table9[#All],2)</f>
        <v>Carpentry</v>
      </c>
    </row>
    <row r="334" spans="1:22" x14ac:dyDescent="0.45">
      <c r="A334" s="24">
        <v>44504</v>
      </c>
      <c r="B334" s="56" t="s">
        <v>412</v>
      </c>
      <c r="C334" s="57">
        <v>7.5</v>
      </c>
      <c r="D334" s="1" t="s">
        <v>374</v>
      </c>
      <c r="E334" s="56" t="s">
        <v>69</v>
      </c>
      <c r="F334" s="28"/>
      <c r="G334" s="29">
        <v>1</v>
      </c>
      <c r="H334" s="28">
        <v>7509</v>
      </c>
      <c r="I334" s="28"/>
      <c r="J334" s="109">
        <f>(Table3[[#This Row],[QTY]]*Table3[[#This Row],[Supplies Cost]])+Table3[[#This Row],[Tax/Fees]]</f>
        <v>7509</v>
      </c>
      <c r="K334" s="40"/>
      <c r="L334" s="154" t="s">
        <v>33</v>
      </c>
      <c r="M334" s="40" t="s">
        <v>34</v>
      </c>
      <c r="N334" s="31"/>
      <c r="O334" s="31"/>
      <c r="P334" s="31"/>
      <c r="Q334" s="31"/>
      <c r="R334" s="31">
        <v>7.51</v>
      </c>
      <c r="S334" s="31"/>
      <c r="T334" s="31" t="s">
        <v>280</v>
      </c>
      <c r="U334" s="31" t="str">
        <f>LEFT(Table3[[#This Row],[Stage]],FIND(".",Table3[[#This Row],[Stage]],1)-1)</f>
        <v>7</v>
      </c>
      <c r="V334" s="31" t="str">
        <f>VLOOKUP(ABS(Table3[[#This Row],[Type]]),[1]!Table9[#All],2)</f>
        <v>Carpentry</v>
      </c>
    </row>
    <row r="335" spans="1:22" x14ac:dyDescent="0.45">
      <c r="A335" s="24">
        <v>44510</v>
      </c>
      <c r="B335" s="56" t="s">
        <v>413</v>
      </c>
      <c r="C335" s="57">
        <v>7.36</v>
      </c>
      <c r="D335" s="1" t="s">
        <v>279</v>
      </c>
      <c r="E335" s="56" t="s">
        <v>69</v>
      </c>
      <c r="F335" s="28"/>
      <c r="G335" s="29">
        <v>1</v>
      </c>
      <c r="H335" s="28">
        <v>723.86</v>
      </c>
      <c r="I335" s="28"/>
      <c r="J335" s="109">
        <f>(Table3[[#This Row],[QTY]]*Table3[[#This Row],[Supplies Cost]])+Table3[[#This Row],[Tax/Fees]]</f>
        <v>723.86</v>
      </c>
      <c r="K335" s="40"/>
      <c r="L335" s="154" t="s">
        <v>33</v>
      </c>
      <c r="M335" s="40" t="s">
        <v>47</v>
      </c>
      <c r="N335" s="31"/>
      <c r="O335" s="31"/>
      <c r="P335" s="31"/>
      <c r="Q335" s="31"/>
      <c r="R335" s="31">
        <v>7.3639999999999999</v>
      </c>
      <c r="S335" s="31"/>
      <c r="T335" s="31" t="s">
        <v>280</v>
      </c>
      <c r="U335" s="31" t="str">
        <f>LEFT(Table3[[#This Row],[Stage]],FIND(".",Table3[[#This Row],[Stage]],1)-1)</f>
        <v>7</v>
      </c>
      <c r="V335" s="31" t="str">
        <f>VLOOKUP(ABS(Table3[[#This Row],[Type]]),[1]!Table9[#All],2)</f>
        <v>Carpentry</v>
      </c>
    </row>
    <row r="336" spans="1:22" x14ac:dyDescent="0.45">
      <c r="A336" s="24">
        <v>44510</v>
      </c>
      <c r="B336" s="56" t="s">
        <v>369</v>
      </c>
      <c r="C336" s="34">
        <v>3.1</v>
      </c>
      <c r="D336" s="40" t="s">
        <v>213</v>
      </c>
      <c r="E336" s="56" t="s">
        <v>239</v>
      </c>
      <c r="F336" s="28"/>
      <c r="G336" s="29">
        <v>1</v>
      </c>
      <c r="H336" s="28">
        <v>1233.75</v>
      </c>
      <c r="I336" s="28"/>
      <c r="J336" s="109">
        <f>(Table3[[#This Row],[QTY]]*Table3[[#This Row],[Supplies Cost]])+Table3[[#This Row],[Tax/Fees]]</f>
        <v>1233.75</v>
      </c>
      <c r="K336" s="40"/>
      <c r="L336" s="154" t="s">
        <v>33</v>
      </c>
      <c r="M336" s="40" t="s">
        <v>77</v>
      </c>
      <c r="N336" s="31"/>
      <c r="O336" s="31"/>
      <c r="P336" s="31"/>
      <c r="Q336" s="31"/>
      <c r="R336" s="31">
        <v>3.13</v>
      </c>
      <c r="S336" s="31"/>
      <c r="T336" s="31" t="s">
        <v>236</v>
      </c>
      <c r="U336" s="31" t="str">
        <f>LEFT(Table3[[#This Row],[Stage]],FIND(".",Table3[[#This Row],[Stage]],1)-1)</f>
        <v>3</v>
      </c>
      <c r="V336" s="31" t="str">
        <f>VLOOKUP(ABS(Table3[[#This Row],[Type]]),[1]!Table9[#All],2)</f>
        <v>Masonary</v>
      </c>
    </row>
    <row r="337" spans="1:22" x14ac:dyDescent="0.45">
      <c r="A337" s="24">
        <v>44511</v>
      </c>
      <c r="B337" s="56" t="s">
        <v>414</v>
      </c>
      <c r="C337" s="34">
        <v>7.36</v>
      </c>
      <c r="D337" s="1" t="s">
        <v>279</v>
      </c>
      <c r="E337" s="56" t="s">
        <v>69</v>
      </c>
      <c r="F337" s="28"/>
      <c r="G337" s="29">
        <v>1</v>
      </c>
      <c r="H337" s="28">
        <v>5006</v>
      </c>
      <c r="I337" s="28"/>
      <c r="J337" s="109">
        <f>(Table3[[#This Row],[QTY]]*Table3[[#This Row],[Supplies Cost]])+Table3[[#This Row],[Tax/Fees]]</f>
        <v>5006</v>
      </c>
      <c r="K337" s="40"/>
      <c r="L337" s="154" t="s">
        <v>33</v>
      </c>
      <c r="M337" s="40" t="s">
        <v>34</v>
      </c>
      <c r="N337" s="31"/>
      <c r="O337" s="31">
        <v>21111101</v>
      </c>
      <c r="P337" s="31"/>
      <c r="Q337" s="31"/>
      <c r="R337" s="31">
        <v>7.3624999999999998</v>
      </c>
      <c r="S337" s="31"/>
      <c r="T337" s="31" t="s">
        <v>280</v>
      </c>
      <c r="U337" s="31" t="str">
        <f>LEFT(Table3[[#This Row],[Stage]],FIND(".",Table3[[#This Row],[Stage]],1)-1)</f>
        <v>7</v>
      </c>
      <c r="V337" s="31" t="str">
        <f>VLOOKUP(ABS(Table3[[#This Row],[Type]]),[1]!Table9[#All],2)</f>
        <v>Carpentry</v>
      </c>
    </row>
    <row r="338" spans="1:22" x14ac:dyDescent="0.45">
      <c r="A338" s="24">
        <v>44512</v>
      </c>
      <c r="B338" s="56" t="s">
        <v>415</v>
      </c>
      <c r="C338" s="57">
        <v>3.75</v>
      </c>
      <c r="D338" s="152" t="s">
        <v>177</v>
      </c>
      <c r="E338" s="56" t="s">
        <v>64</v>
      </c>
      <c r="F338" s="28"/>
      <c r="G338" s="29">
        <v>1</v>
      </c>
      <c r="H338" s="28">
        <v>1300</v>
      </c>
      <c r="I338" s="28"/>
      <c r="J338" s="109">
        <f>(Table3[[#This Row],[QTY]]*Table3[[#This Row],[Supplies Cost]])+Table3[[#This Row],[Tax/Fees]]</f>
        <v>1300</v>
      </c>
      <c r="K338" s="40"/>
      <c r="L338" s="154" t="s">
        <v>33</v>
      </c>
      <c r="M338" s="40" t="s">
        <v>47</v>
      </c>
      <c r="N338" s="31"/>
      <c r="O338" s="31"/>
      <c r="P338" s="31"/>
      <c r="Q338" s="31"/>
      <c r="R338" s="31">
        <v>3.7515000000000001</v>
      </c>
      <c r="S338" s="31"/>
      <c r="T338" s="31" t="s">
        <v>236</v>
      </c>
      <c r="U338" s="31" t="str">
        <f>LEFT(Table3[[#This Row],[Stage]],FIND(".",Table3[[#This Row],[Stage]],1)-1)</f>
        <v>3</v>
      </c>
      <c r="V338" s="31" t="str">
        <f>VLOOKUP(ABS(Table3[[#This Row],[Type]]),[1]!Table9[#All],2)</f>
        <v>Masonary</v>
      </c>
    </row>
    <row r="339" spans="1:22" ht="30.75" x14ac:dyDescent="0.45">
      <c r="A339" s="24">
        <v>44512</v>
      </c>
      <c r="B339" s="56" t="s">
        <v>416</v>
      </c>
      <c r="C339" s="57">
        <v>7.36</v>
      </c>
      <c r="D339" s="1" t="s">
        <v>279</v>
      </c>
      <c r="E339" s="56" t="s">
        <v>69</v>
      </c>
      <c r="F339" s="28"/>
      <c r="G339" s="29">
        <v>1</v>
      </c>
      <c r="H339" s="28">
        <v>1208.92</v>
      </c>
      <c r="I339" s="28"/>
      <c r="J339" s="109">
        <f>(Table3[[#This Row],[QTY]]*Table3[[#This Row],[Supplies Cost]])+Table3[[#This Row],[Tax/Fees]]</f>
        <v>1208.92</v>
      </c>
      <c r="K339" s="40"/>
      <c r="L339" s="154" t="s">
        <v>33</v>
      </c>
      <c r="M339" s="40" t="s">
        <v>47</v>
      </c>
      <c r="N339" s="31"/>
      <c r="O339" s="31"/>
      <c r="P339" s="31"/>
      <c r="Q339" s="31"/>
      <c r="R339" s="31">
        <v>7.3650000000000002</v>
      </c>
      <c r="S339" s="31"/>
      <c r="T339" s="31" t="s">
        <v>280</v>
      </c>
      <c r="U339" s="31" t="str">
        <f>LEFT(Table3[[#This Row],[Stage]],FIND(".",Table3[[#This Row],[Stage]],1)-1)</f>
        <v>7</v>
      </c>
      <c r="V339" s="31" t="str">
        <f>VLOOKUP(ABS(Table3[[#This Row],[Type]]),[1]!Table9[#All],2)</f>
        <v>Carpentry</v>
      </c>
    </row>
    <row r="340" spans="1:22" x14ac:dyDescent="0.45">
      <c r="A340" s="24">
        <v>44513</v>
      </c>
      <c r="B340" s="56" t="s">
        <v>417</v>
      </c>
      <c r="C340" s="34">
        <v>7.36</v>
      </c>
      <c r="D340" s="1" t="s">
        <v>279</v>
      </c>
      <c r="E340" s="56" t="s">
        <v>116</v>
      </c>
      <c r="F340" s="28"/>
      <c r="G340" s="29">
        <v>1</v>
      </c>
      <c r="H340" s="28">
        <v>359.12</v>
      </c>
      <c r="I340" s="28"/>
      <c r="J340" s="109">
        <f>(Table3[[#This Row],[QTY]]*Table3[[#This Row],[Supplies Cost]])+Table3[[#This Row],[Tax/Fees]]</f>
        <v>359.12</v>
      </c>
      <c r="K340" s="40"/>
      <c r="L340" s="154" t="s">
        <v>33</v>
      </c>
      <c r="M340" s="40" t="s">
        <v>77</v>
      </c>
      <c r="N340" s="31"/>
      <c r="O340" s="31"/>
      <c r="P340" s="31"/>
      <c r="Q340" s="31"/>
      <c r="R340" s="31">
        <v>7.3609999999999998</v>
      </c>
      <c r="S340" s="31"/>
      <c r="T340" s="31" t="s">
        <v>244</v>
      </c>
      <c r="U340" s="31" t="str">
        <f>LEFT(Table3[[#This Row],[Stage]],FIND(".",Table3[[#This Row],[Stage]],1)-1)</f>
        <v>7</v>
      </c>
      <c r="V340" s="31" t="str">
        <f>VLOOKUP(ABS(Table3[[#This Row],[Type]]),[1]!Table9[#All],2)</f>
        <v>Carpentry</v>
      </c>
    </row>
    <row r="341" spans="1:22" x14ac:dyDescent="0.45">
      <c r="A341" s="24">
        <v>44513</v>
      </c>
      <c r="B341" s="56" t="s">
        <v>418</v>
      </c>
      <c r="C341" s="57">
        <v>3.8</v>
      </c>
      <c r="D341" s="90" t="s">
        <v>290</v>
      </c>
      <c r="E341" s="56" t="s">
        <v>67</v>
      </c>
      <c r="F341" s="28"/>
      <c r="G341" s="29">
        <v>1</v>
      </c>
      <c r="H341" s="28">
        <v>450</v>
      </c>
      <c r="I341" s="28"/>
      <c r="J341" s="109">
        <f>(Table3[[#This Row],[QTY]]*Table3[[#This Row],[Supplies Cost]])+Table3[[#This Row],[Tax/Fees]]</f>
        <v>450</v>
      </c>
      <c r="K341" s="40"/>
      <c r="L341" s="154" t="s">
        <v>33</v>
      </c>
      <c r="M341" s="40" t="s">
        <v>77</v>
      </c>
      <c r="N341" s="31"/>
      <c r="O341" s="31" t="s">
        <v>419</v>
      </c>
      <c r="P341" s="31"/>
      <c r="Q341" s="31"/>
      <c r="R341" s="31"/>
      <c r="S341" s="31"/>
      <c r="T341" s="31" t="s">
        <v>236</v>
      </c>
      <c r="U341" s="31" t="str">
        <f>LEFT(Table3[[#This Row],[Stage]],FIND(".",Table3[[#This Row],[Stage]],1)-1)</f>
        <v>3</v>
      </c>
      <c r="V341" s="31" t="str">
        <f>VLOOKUP(ABS(Table3[[#This Row],[Type]]),[1]!Table9[#All],2)</f>
        <v>Masonary</v>
      </c>
    </row>
    <row r="342" spans="1:22" x14ac:dyDescent="0.45">
      <c r="A342" s="24">
        <v>44513</v>
      </c>
      <c r="B342" s="56" t="s">
        <v>420</v>
      </c>
      <c r="C342" s="57">
        <v>3.8</v>
      </c>
      <c r="D342" s="90" t="s">
        <v>290</v>
      </c>
      <c r="E342" s="56" t="s">
        <v>67</v>
      </c>
      <c r="F342" s="28"/>
      <c r="G342" s="49">
        <v>1</v>
      </c>
      <c r="H342" s="28">
        <v>20000</v>
      </c>
      <c r="I342" s="28"/>
      <c r="J342" s="109">
        <f>(Table3[[#This Row],[QTY]]*Table3[[#This Row],[Supplies Cost]])+Table3[[#This Row],[Tax/Fees]]</f>
        <v>20000</v>
      </c>
      <c r="K342" s="40">
        <v>20000</v>
      </c>
      <c r="L342" s="154" t="s">
        <v>33</v>
      </c>
      <c r="M342" s="40" t="s">
        <v>34</v>
      </c>
      <c r="N342" s="31"/>
      <c r="O342" s="31" t="s">
        <v>419</v>
      </c>
      <c r="P342" s="31"/>
      <c r="Q342" s="31"/>
      <c r="R342" s="31">
        <v>3.855</v>
      </c>
      <c r="S342" s="31"/>
      <c r="T342" s="31" t="s">
        <v>236</v>
      </c>
      <c r="U342" s="31" t="str">
        <f>LEFT(Table3[[#This Row],[Stage]],FIND(".",Table3[[#This Row],[Stage]],1)-1)</f>
        <v>3</v>
      </c>
      <c r="V342" s="31" t="str">
        <f>VLOOKUP(ABS(Table3[[#This Row],[Type]]),[1]!Table9[#All],2)</f>
        <v>Masonary</v>
      </c>
    </row>
    <row r="343" spans="1:22" x14ac:dyDescent="0.45">
      <c r="A343" s="24">
        <v>44515</v>
      </c>
      <c r="B343" s="56" t="s">
        <v>421</v>
      </c>
      <c r="C343" s="34">
        <v>3.6</v>
      </c>
      <c r="D343" s="1" t="s">
        <v>279</v>
      </c>
      <c r="E343" s="56" t="s">
        <v>422</v>
      </c>
      <c r="F343" s="28"/>
      <c r="G343" s="29">
        <v>1</v>
      </c>
      <c r="H343" s="28">
        <v>825.54</v>
      </c>
      <c r="I343" s="28"/>
      <c r="J343" s="109">
        <f>(Table3[[#This Row],[QTY]]*Table3[[#This Row],[Supplies Cost]])+Table3[[#This Row],[Tax/Fees]]</f>
        <v>825.54</v>
      </c>
      <c r="K343" s="40"/>
      <c r="L343" s="154" t="s">
        <v>33</v>
      </c>
      <c r="M343" s="40" t="s">
        <v>47</v>
      </c>
      <c r="N343" s="31"/>
      <c r="O343" s="31">
        <v>191409</v>
      </c>
      <c r="P343" s="31"/>
      <c r="Q343" s="31"/>
      <c r="R343" s="31">
        <v>3.645</v>
      </c>
      <c r="S343" s="31"/>
      <c r="T343" s="40" t="s">
        <v>236</v>
      </c>
      <c r="U343" s="31" t="str">
        <f>LEFT(Table3[[#This Row],[Stage]],FIND(".",Table3[[#This Row],[Stage]],1)-1)</f>
        <v>3</v>
      </c>
      <c r="V343" s="31" t="str">
        <f>VLOOKUP(ABS(Table3[[#This Row],[Type]]),[1]!Table9[#All],2)</f>
        <v>Masonary</v>
      </c>
    </row>
    <row r="344" spans="1:22" x14ac:dyDescent="0.45">
      <c r="A344" s="24">
        <v>44515</v>
      </c>
      <c r="B344" s="56" t="s">
        <v>423</v>
      </c>
      <c r="C344" s="57">
        <v>3.06</v>
      </c>
      <c r="D344" s="1" t="s">
        <v>374</v>
      </c>
      <c r="E344" s="56" t="s">
        <v>165</v>
      </c>
      <c r="F344" s="28"/>
      <c r="G344" s="29">
        <v>1</v>
      </c>
      <c r="H344" s="28">
        <v>1603.88</v>
      </c>
      <c r="I344" s="28"/>
      <c r="J344" s="109">
        <f>(Table3[[#This Row],[QTY]]*Table3[[#This Row],[Supplies Cost]])+Table3[[#This Row],[Tax/Fees]]</f>
        <v>1603.88</v>
      </c>
      <c r="K344" s="40"/>
      <c r="L344" s="154" t="s">
        <v>33</v>
      </c>
      <c r="M344" s="40" t="s">
        <v>47</v>
      </c>
      <c r="N344" s="31"/>
      <c r="O344" s="31"/>
      <c r="P344" s="31"/>
      <c r="Q344" s="31" t="s">
        <v>120</v>
      </c>
      <c r="R344" s="31">
        <v>3.06155</v>
      </c>
      <c r="S344" s="31"/>
      <c r="T344" s="31" t="s">
        <v>280</v>
      </c>
      <c r="U344" s="31" t="str">
        <f>LEFT(Table3[[#This Row],[Stage]],FIND(".",Table3[[#This Row],[Stage]],1)-1)</f>
        <v>3</v>
      </c>
      <c r="V344" s="31" t="str">
        <f>VLOOKUP(ABS(Table3[[#This Row],[Type]]),[1]!Table9[#All],2)</f>
        <v>Masonary</v>
      </c>
    </row>
    <row r="345" spans="1:22" x14ac:dyDescent="0.45">
      <c r="A345" s="24">
        <v>44515</v>
      </c>
      <c r="B345" s="56" t="s">
        <v>424</v>
      </c>
      <c r="C345" s="34">
        <v>3.8</v>
      </c>
      <c r="D345" s="1" t="s">
        <v>425</v>
      </c>
      <c r="E345" s="56" t="s">
        <v>108</v>
      </c>
      <c r="F345" s="28"/>
      <c r="G345" s="29">
        <v>1</v>
      </c>
      <c r="H345" s="28">
        <v>80</v>
      </c>
      <c r="I345" s="173">
        <v>136.85</v>
      </c>
      <c r="J345" s="109">
        <f>(Table3[[#This Row],[QTY]]*Table3[[#This Row],[Supplies Cost]])+Table3[[#This Row],[Tax/Fees]]</f>
        <v>216.85</v>
      </c>
      <c r="K345" s="164">
        <v>918.85</v>
      </c>
      <c r="L345" s="154" t="s">
        <v>33</v>
      </c>
      <c r="M345" s="40" t="s">
        <v>47</v>
      </c>
      <c r="N345" s="31"/>
      <c r="O345" s="31" t="s">
        <v>426</v>
      </c>
      <c r="P345" s="31"/>
      <c r="Q345" s="31"/>
      <c r="R345" s="31">
        <v>3.8380000000000001</v>
      </c>
      <c r="S345" s="31"/>
      <c r="T345" s="31" t="s">
        <v>160</v>
      </c>
      <c r="U345" s="31" t="str">
        <f>LEFT(Table3[[#This Row],[Stage]],FIND(".",Table3[[#This Row],[Stage]],1)-1)</f>
        <v>3</v>
      </c>
      <c r="V345" s="31" t="str">
        <f>VLOOKUP(ABS(Table3[[#This Row],[Type]]),[1]!Table9[#All],2)</f>
        <v>Masonary</v>
      </c>
    </row>
    <row r="346" spans="1:22" x14ac:dyDescent="0.45">
      <c r="A346" s="24">
        <v>44516</v>
      </c>
      <c r="B346" s="56" t="s">
        <v>427</v>
      </c>
      <c r="C346" s="34">
        <v>7.36</v>
      </c>
      <c r="D346" s="31" t="s">
        <v>351</v>
      </c>
      <c r="E346" s="56" t="s">
        <v>71</v>
      </c>
      <c r="F346" s="28"/>
      <c r="G346" s="29">
        <v>1</v>
      </c>
      <c r="H346" s="28">
        <v>524.66</v>
      </c>
      <c r="I346" s="28"/>
      <c r="J346" s="109">
        <f>(Table3[[#This Row],[QTY]]*Table3[[#This Row],[Supplies Cost]])+Table3[[#This Row],[Tax/Fees]]</f>
        <v>524.66</v>
      </c>
      <c r="K346" s="40"/>
      <c r="L346" s="154" t="s">
        <v>33</v>
      </c>
      <c r="M346" s="40" t="s">
        <v>47</v>
      </c>
      <c r="N346" s="31"/>
      <c r="O346" s="31"/>
      <c r="P346" s="31"/>
      <c r="Q346" s="31"/>
      <c r="R346" s="31">
        <v>7.3616000000000001</v>
      </c>
      <c r="S346" s="31"/>
      <c r="T346" s="31" t="s">
        <v>280</v>
      </c>
      <c r="U346" s="31" t="str">
        <f>LEFT(Table3[[#This Row],[Stage]],FIND(".",Table3[[#This Row],[Stage]],1)-1)</f>
        <v>7</v>
      </c>
      <c r="V346" s="31" t="str">
        <f>VLOOKUP(ABS(Table3[[#This Row],[Type]]),[1]!Table9[#All],2)</f>
        <v>Carpentry</v>
      </c>
    </row>
    <row r="347" spans="1:22" x14ac:dyDescent="0.45">
      <c r="A347" s="24">
        <v>44516</v>
      </c>
      <c r="B347" s="56" t="s">
        <v>428</v>
      </c>
      <c r="C347" s="34">
        <v>7.36</v>
      </c>
      <c r="D347" s="31" t="s">
        <v>351</v>
      </c>
      <c r="E347" s="56" t="s">
        <v>71</v>
      </c>
      <c r="F347" s="28"/>
      <c r="G347" s="29">
        <v>1</v>
      </c>
      <c r="H347" s="28">
        <v>2787.15</v>
      </c>
      <c r="I347" s="28"/>
      <c r="J347" s="109">
        <f>(Table3[[#This Row],[QTY]]*Table3[[#This Row],[Supplies Cost]])+Table3[[#This Row],[Tax/Fees]]</f>
        <v>2787.15</v>
      </c>
      <c r="K347" s="40"/>
      <c r="L347" s="154" t="s">
        <v>33</v>
      </c>
      <c r="M347" s="40" t="s">
        <v>47</v>
      </c>
      <c r="N347" s="31"/>
      <c r="O347" s="31"/>
      <c r="P347" s="31"/>
      <c r="Q347" s="31"/>
      <c r="R347" s="31">
        <v>7.36165</v>
      </c>
      <c r="S347" s="31"/>
      <c r="T347" s="31" t="s">
        <v>365</v>
      </c>
      <c r="U347" s="31" t="str">
        <f>LEFT(Table3[[#This Row],[Stage]],FIND(".",Table3[[#This Row],[Stage]],1)-1)</f>
        <v>7</v>
      </c>
      <c r="V347" s="31" t="str">
        <f>VLOOKUP(ABS(Table3[[#This Row],[Type]]),[1]!Table9[#All],2)</f>
        <v>Carpentry</v>
      </c>
    </row>
    <row r="348" spans="1:22" x14ac:dyDescent="0.45">
      <c r="A348" s="24">
        <v>44517</v>
      </c>
      <c r="B348" s="56" t="s">
        <v>429</v>
      </c>
      <c r="C348" s="57">
        <v>8.0399999999999991</v>
      </c>
      <c r="D348" s="152" t="s">
        <v>45</v>
      </c>
      <c r="E348" s="56" t="s">
        <v>127</v>
      </c>
      <c r="F348" s="28"/>
      <c r="G348" s="29">
        <v>1</v>
      </c>
      <c r="H348" s="28">
        <v>305.5</v>
      </c>
      <c r="I348" s="28"/>
      <c r="J348" s="109">
        <f>(Table3[[#This Row],[QTY]]*Table3[[#This Row],[Supplies Cost]])+Table3[[#This Row],[Tax/Fees]]</f>
        <v>305.5</v>
      </c>
      <c r="K348" s="40"/>
      <c r="L348" s="154" t="s">
        <v>33</v>
      </c>
      <c r="M348" s="40" t="s">
        <v>77</v>
      </c>
      <c r="N348" s="31"/>
      <c r="O348" s="31"/>
      <c r="P348" s="31"/>
      <c r="Q348" s="31"/>
      <c r="R348" s="31">
        <v>8.0410000000000004</v>
      </c>
      <c r="S348" s="31"/>
      <c r="T348" s="31" t="s">
        <v>129</v>
      </c>
      <c r="U348" s="31" t="str">
        <f>LEFT(Table3[[#This Row],[Stage]],FIND(".",Table3[[#This Row],[Stage]],1)-1)</f>
        <v>8</v>
      </c>
      <c r="V348" s="31" t="str">
        <f>VLOOKUP(ABS(Table3[[#This Row],[Type]]),[1]!Table9[#All],2)</f>
        <v>Administrative</v>
      </c>
    </row>
    <row r="349" spans="1:22" x14ac:dyDescent="0.45">
      <c r="A349" s="24">
        <v>44521</v>
      </c>
      <c r="B349" s="56" t="s">
        <v>430</v>
      </c>
      <c r="C349" s="57">
        <v>26.2</v>
      </c>
      <c r="D349" s="1" t="s">
        <v>431</v>
      </c>
      <c r="E349" s="56" t="s">
        <v>432</v>
      </c>
      <c r="F349" s="28"/>
      <c r="G349" s="29">
        <v>1</v>
      </c>
      <c r="H349" s="28">
        <v>723.22</v>
      </c>
      <c r="I349" s="28"/>
      <c r="J349" s="109">
        <f>(Table3[[#This Row],[QTY]]*Table3[[#This Row],[Supplies Cost]])+Table3[[#This Row],[Tax/Fees]]</f>
        <v>723.22</v>
      </c>
      <c r="K349" s="40"/>
      <c r="L349" s="154" t="s">
        <v>33</v>
      </c>
      <c r="M349" s="40" t="s">
        <v>47</v>
      </c>
      <c r="N349" s="31"/>
      <c r="O349" s="31"/>
      <c r="P349" s="31"/>
      <c r="Q349" s="31"/>
      <c r="R349" s="31">
        <v>26.21</v>
      </c>
      <c r="S349" s="31"/>
      <c r="T349" s="31" t="s">
        <v>433</v>
      </c>
      <c r="U349" s="31" t="str">
        <f>LEFT(Table3[[#This Row],[Stage]],FIND(".",Table3[[#This Row],[Stage]],1)-1)</f>
        <v>26</v>
      </c>
      <c r="V349" s="31" t="str">
        <f>VLOOKUP(ABS(Table3[[#This Row],[Type]]),[1]!Table9[#All],2)</f>
        <v>Painting</v>
      </c>
    </row>
    <row r="350" spans="1:22" x14ac:dyDescent="0.45">
      <c r="A350" s="24">
        <v>44523</v>
      </c>
      <c r="B350" s="56" t="s">
        <v>434</v>
      </c>
      <c r="C350" s="34">
        <v>7.5</v>
      </c>
      <c r="D350" s="1" t="s">
        <v>279</v>
      </c>
      <c r="E350" s="56" t="s">
        <v>82</v>
      </c>
      <c r="F350" s="28"/>
      <c r="G350" s="29">
        <v>1</v>
      </c>
      <c r="H350" s="28">
        <v>12626.96</v>
      </c>
      <c r="I350" s="28">
        <v>2209.7199999999998</v>
      </c>
      <c r="J350" s="109">
        <f>(Table3[[#This Row],[QTY]]*Table3[[#This Row],[Supplies Cost]])+Table3[[#This Row],[Tax/Fees]]</f>
        <v>14836.679999999998</v>
      </c>
      <c r="K350" s="40"/>
      <c r="L350" s="154" t="s">
        <v>33</v>
      </c>
      <c r="M350" s="40" t="s">
        <v>47</v>
      </c>
      <c r="N350" s="31"/>
      <c r="O350" s="31"/>
      <c r="P350" s="31"/>
      <c r="Q350" s="31"/>
      <c r="R350" s="31">
        <v>7.51</v>
      </c>
      <c r="S350" s="31"/>
      <c r="T350" s="31" t="s">
        <v>280</v>
      </c>
      <c r="U350" s="31" t="str">
        <f>LEFT(Table3[[#This Row],[Stage]],FIND(".",Table3[[#This Row],[Stage]],1)-1)</f>
        <v>7</v>
      </c>
      <c r="V350" s="31" t="str">
        <f>VLOOKUP(ABS(Table3[[#This Row],[Type]]),[1]!Table9[#All],2)</f>
        <v>Carpentry</v>
      </c>
    </row>
    <row r="351" spans="1:22" x14ac:dyDescent="0.45">
      <c r="A351" s="24">
        <v>44523</v>
      </c>
      <c r="B351" s="56" t="s">
        <v>435</v>
      </c>
      <c r="C351" s="34">
        <v>8.0399999999999991</v>
      </c>
      <c r="D351" s="152" t="s">
        <v>279</v>
      </c>
      <c r="E351" s="56" t="s">
        <v>104</v>
      </c>
      <c r="F351" s="28"/>
      <c r="G351" s="29">
        <v>1</v>
      </c>
      <c r="H351" s="28">
        <v>20.059999999999999</v>
      </c>
      <c r="I351" s="28"/>
      <c r="J351" s="109">
        <f>(Table3[[#This Row],[QTY]]*Table3[[#This Row],[Supplies Cost]])+Table3[[#This Row],[Tax/Fees]]</f>
        <v>20.059999999999999</v>
      </c>
      <c r="K351" s="40"/>
      <c r="L351" s="154" t="s">
        <v>33</v>
      </c>
      <c r="M351" s="40" t="s">
        <v>77</v>
      </c>
      <c r="N351" s="31"/>
      <c r="O351" s="31"/>
      <c r="P351" s="31"/>
      <c r="Q351" s="31"/>
      <c r="R351" s="31">
        <v>8.0419999999999998</v>
      </c>
      <c r="S351" s="31"/>
      <c r="T351" s="31" t="s">
        <v>60</v>
      </c>
      <c r="U351" s="31" t="str">
        <f>LEFT(Table3[[#This Row],[Stage]],FIND(".",Table3[[#This Row],[Stage]],1)-1)</f>
        <v>8</v>
      </c>
      <c r="V351" s="31" t="str">
        <f>VLOOKUP(ABS(Table3[[#This Row],[Type]]),[1]!Table9[#All],2)</f>
        <v>Administrative</v>
      </c>
    </row>
    <row r="352" spans="1:22" x14ac:dyDescent="0.45">
      <c r="A352" s="24">
        <v>44523</v>
      </c>
      <c r="B352" s="56" t="s">
        <v>436</v>
      </c>
      <c r="C352" s="57">
        <v>7.36</v>
      </c>
      <c r="D352" s="40" t="s">
        <v>199</v>
      </c>
      <c r="E352" t="s">
        <v>391</v>
      </c>
      <c r="F352" s="28"/>
      <c r="G352" s="29">
        <v>1</v>
      </c>
      <c r="H352" s="28">
        <v>5280</v>
      </c>
      <c r="I352" s="28"/>
      <c r="J352" s="109">
        <f>(Table3[[#This Row],[QTY]]*Table3[[#This Row],[Supplies Cost]])+Table3[[#This Row],[Tax/Fees]]</f>
        <v>5280</v>
      </c>
      <c r="K352" s="40"/>
      <c r="L352" s="154" t="s">
        <v>33</v>
      </c>
      <c r="M352" s="40" t="s">
        <v>77</v>
      </c>
      <c r="N352" s="31"/>
      <c r="O352" s="31"/>
      <c r="P352" s="31"/>
      <c r="Q352" s="31"/>
      <c r="R352" s="31">
        <v>7.3615000000000004</v>
      </c>
      <c r="S352" s="31"/>
      <c r="T352" s="31" t="s">
        <v>292</v>
      </c>
      <c r="U352" s="31" t="str">
        <f>LEFT(Table3[[#This Row],[Stage]],FIND(".",Table3[[#This Row],[Stage]],1)-1)</f>
        <v>7</v>
      </c>
      <c r="V352" s="31" t="str">
        <f>VLOOKUP(ABS(Table3[[#This Row],[Type]]),[1]!Table9[#All],2)</f>
        <v>Carpentry</v>
      </c>
    </row>
    <row r="353" spans="1:22" x14ac:dyDescent="0.45">
      <c r="A353" s="24">
        <v>44525</v>
      </c>
      <c r="B353" s="56" t="s">
        <v>437</v>
      </c>
      <c r="C353" s="57">
        <v>3.06</v>
      </c>
      <c r="D353" s="1" t="s">
        <v>374</v>
      </c>
      <c r="E353" s="56" t="s">
        <v>165</v>
      </c>
      <c r="F353" s="28"/>
      <c r="G353" s="29">
        <v>1</v>
      </c>
      <c r="H353" s="28">
        <v>-160.38999999999999</v>
      </c>
      <c r="I353" s="28"/>
      <c r="J353" s="109">
        <f>(Table3[[#This Row],[QTY]]*Table3[[#This Row],[Supplies Cost]])+Table3[[#This Row],[Tax/Fees]]</f>
        <v>-160.38999999999999</v>
      </c>
      <c r="K353" s="40"/>
      <c r="L353" s="154" t="s">
        <v>33</v>
      </c>
      <c r="M353" s="40" t="s">
        <v>47</v>
      </c>
      <c r="N353" s="31"/>
      <c r="O353" s="31"/>
      <c r="P353" s="31"/>
      <c r="Q353" s="31" t="s">
        <v>120</v>
      </c>
      <c r="R353" s="31">
        <v>3.0609999999999999</v>
      </c>
      <c r="S353" s="31"/>
      <c r="T353" s="31" t="s">
        <v>280</v>
      </c>
      <c r="U353" s="31" t="str">
        <f>LEFT(Table3[[#This Row],[Stage]],FIND(".",Table3[[#This Row],[Stage]],1)-1)</f>
        <v>3</v>
      </c>
      <c r="V353" s="31" t="str">
        <f>VLOOKUP(ABS(Table3[[#This Row],[Type]]),[1]!Table9[#All],2)</f>
        <v>Masonary</v>
      </c>
    </row>
    <row r="354" spans="1:22" x14ac:dyDescent="0.45">
      <c r="A354" s="24">
        <v>44526</v>
      </c>
      <c r="B354" s="56" t="s">
        <v>438</v>
      </c>
      <c r="C354" s="57">
        <v>26.2</v>
      </c>
      <c r="D354" s="1" t="s">
        <v>439</v>
      </c>
      <c r="E354" s="56" t="s">
        <v>440</v>
      </c>
      <c r="F354" s="28"/>
      <c r="G354" s="29">
        <v>1</v>
      </c>
      <c r="H354" s="28">
        <v>4210.37</v>
      </c>
      <c r="I354" s="28">
        <v>736.82</v>
      </c>
      <c r="J354" s="109">
        <f>(Table3[[#This Row],[QTY]]*Table3[[#This Row],[Supplies Cost]])+Table3[[#This Row],[Tax/Fees]]</f>
        <v>4947.1899999999996</v>
      </c>
      <c r="K354" s="40"/>
      <c r="L354" s="154" t="s">
        <v>33</v>
      </c>
      <c r="M354" s="40" t="s">
        <v>47</v>
      </c>
      <c r="N354" s="31"/>
      <c r="O354" s="31" t="s">
        <v>441</v>
      </c>
      <c r="P354" s="31"/>
      <c r="Q354" s="31"/>
      <c r="R354" s="31">
        <v>26.21</v>
      </c>
      <c r="S354" s="31"/>
      <c r="T354" s="31" t="s">
        <v>433</v>
      </c>
      <c r="U354" s="31" t="str">
        <f>LEFT(Table3[[#This Row],[Stage]],FIND(".",Table3[[#This Row],[Stage]],1)-1)</f>
        <v>26</v>
      </c>
      <c r="V354" s="31" t="str">
        <f>VLOOKUP(ABS(Table3[[#This Row],[Type]]),[1]!Table9[#All],2)</f>
        <v>Painting</v>
      </c>
    </row>
    <row r="355" spans="1:22" ht="30.75" x14ac:dyDescent="0.45">
      <c r="A355" s="24">
        <v>44527</v>
      </c>
      <c r="B355" s="56" t="s">
        <v>442</v>
      </c>
      <c r="C355" s="57">
        <v>7.36</v>
      </c>
      <c r="D355" s="1" t="s">
        <v>351</v>
      </c>
      <c r="E355" s="56" t="s">
        <v>71</v>
      </c>
      <c r="F355" s="28"/>
      <c r="G355" s="29">
        <v>1</v>
      </c>
      <c r="H355" s="28">
        <v>79.11</v>
      </c>
      <c r="I355" s="28"/>
      <c r="J355" s="109">
        <f>(Table3[[#This Row],[QTY]]*Table3[[#This Row],[Supplies Cost]])+Table3[[#This Row],[Tax/Fees]]</f>
        <v>79.11</v>
      </c>
      <c r="K355" s="40"/>
      <c r="L355" s="154" t="s">
        <v>33</v>
      </c>
      <c r="M355" s="40" t="s">
        <v>47</v>
      </c>
      <c r="N355" s="31"/>
      <c r="O355" s="31"/>
      <c r="P355" s="31"/>
      <c r="Q355" s="31"/>
      <c r="R355" s="31">
        <v>7.3609999999999998</v>
      </c>
      <c r="S355" s="31"/>
      <c r="T355" s="31" t="s">
        <v>280</v>
      </c>
      <c r="U355" s="31" t="str">
        <f>LEFT(Table3[[#This Row],[Stage]],FIND(".",Table3[[#This Row],[Stage]],1)-1)</f>
        <v>7</v>
      </c>
      <c r="V355" s="31" t="str">
        <f>VLOOKUP(ABS(Table3[[#This Row],[Type]]),[1]!Table9[#All],2)</f>
        <v>Carpentry</v>
      </c>
    </row>
    <row r="356" spans="1:22" x14ac:dyDescent="0.45">
      <c r="A356" s="24">
        <v>44527</v>
      </c>
      <c r="B356" s="56" t="s">
        <v>102</v>
      </c>
      <c r="C356" s="57">
        <v>3.16</v>
      </c>
      <c r="D356" s="1" t="s">
        <v>351</v>
      </c>
      <c r="E356" s="56" t="s">
        <v>71</v>
      </c>
      <c r="F356" s="28"/>
      <c r="G356" s="29">
        <v>35</v>
      </c>
      <c r="H356" s="28">
        <v>14.85</v>
      </c>
      <c r="I356" s="28"/>
      <c r="J356" s="109">
        <f>(Table3[[#This Row],[QTY]]*Table3[[#This Row],[Supplies Cost]])+Table3[[#This Row],[Tax/Fees]]</f>
        <v>519.75</v>
      </c>
      <c r="K356" s="40"/>
      <c r="L356" s="154" t="s">
        <v>92</v>
      </c>
      <c r="M356" s="40" t="s">
        <v>47</v>
      </c>
      <c r="N356" s="31"/>
      <c r="O356" s="31" t="s">
        <v>443</v>
      </c>
      <c r="P356" s="31"/>
      <c r="Q356" s="31"/>
      <c r="R356" s="31"/>
      <c r="S356" s="31"/>
      <c r="T356" s="31" t="s">
        <v>236</v>
      </c>
      <c r="U356" s="31" t="str">
        <f>LEFT(Table3[[#This Row],[Stage]],FIND(".",Table3[[#This Row],[Stage]],1)-1)</f>
        <v>3</v>
      </c>
      <c r="V356" s="31" t="str">
        <f>VLOOKUP(ABS(Table3[[#This Row],[Type]]),[1]!Table9[#All],2)</f>
        <v>Masonary</v>
      </c>
    </row>
    <row r="357" spans="1:22" x14ac:dyDescent="0.45">
      <c r="A357" s="24">
        <v>44527</v>
      </c>
      <c r="B357" s="56" t="s">
        <v>444</v>
      </c>
      <c r="C357" s="57">
        <v>3.16</v>
      </c>
      <c r="D357" s="1" t="s">
        <v>351</v>
      </c>
      <c r="E357" s="56" t="s">
        <v>71</v>
      </c>
      <c r="F357" s="28"/>
      <c r="G357" s="29">
        <v>1</v>
      </c>
      <c r="H357" s="28">
        <v>382.16</v>
      </c>
      <c r="I357" s="28">
        <v>280.99</v>
      </c>
      <c r="J357" s="109">
        <f>(Table3[[#This Row],[QTY]]*Table3[[#This Row],[Supplies Cost]])+Table3[[#This Row],[Tax/Fees]]</f>
        <v>663.15000000000009</v>
      </c>
      <c r="K357" s="164">
        <v>1886.65</v>
      </c>
      <c r="L357" s="154" t="s">
        <v>33</v>
      </c>
      <c r="M357" s="40" t="s">
        <v>47</v>
      </c>
      <c r="N357" s="31"/>
      <c r="O357" s="31" t="s">
        <v>443</v>
      </c>
      <c r="P357" s="31"/>
      <c r="Q357" s="31"/>
      <c r="R357" s="31">
        <v>3.1619999999999999</v>
      </c>
      <c r="S357" s="31"/>
      <c r="T357" s="31" t="s">
        <v>236</v>
      </c>
      <c r="U357" s="31" t="str">
        <f>LEFT(Table3[[#This Row],[Stage]],FIND(".",Table3[[#This Row],[Stage]],1)-1)</f>
        <v>3</v>
      </c>
      <c r="V357" s="31" t="str">
        <f>VLOOKUP(ABS(Table3[[#This Row],[Type]]),[1]!Table9[#All],2)</f>
        <v>Masonary</v>
      </c>
    </row>
    <row r="358" spans="1:22" x14ac:dyDescent="0.45">
      <c r="A358" s="24">
        <v>44527</v>
      </c>
      <c r="B358" s="56" t="s">
        <v>445</v>
      </c>
      <c r="C358" s="57">
        <v>7.36</v>
      </c>
      <c r="D358" s="1" t="s">
        <v>399</v>
      </c>
      <c r="E358" s="56" t="s">
        <v>71</v>
      </c>
      <c r="F358" s="28"/>
      <c r="G358" s="29">
        <v>25</v>
      </c>
      <c r="H358" s="28">
        <v>28.15</v>
      </c>
      <c r="I358" s="28"/>
      <c r="J358" s="109">
        <f>(Table3[[#This Row],[QTY]]*Table3[[#This Row],[Supplies Cost]])+Table3[[#This Row],[Tax/Fees]]</f>
        <v>703.75</v>
      </c>
      <c r="K358" s="40"/>
      <c r="L358" s="154" t="s">
        <v>92</v>
      </c>
      <c r="M358" s="40" t="s">
        <v>47</v>
      </c>
      <c r="N358" s="31"/>
      <c r="O358" s="31" t="s">
        <v>443</v>
      </c>
      <c r="P358" s="31"/>
      <c r="Q358" s="31"/>
      <c r="R358" s="31"/>
      <c r="S358" s="31"/>
      <c r="T358" s="31" t="s">
        <v>280</v>
      </c>
      <c r="U358" s="31" t="str">
        <f>LEFT(Table3[[#This Row],[Stage]],FIND(".",Table3[[#This Row],[Stage]],1)-1)</f>
        <v>7</v>
      </c>
      <c r="V358" s="31" t="str">
        <f>VLOOKUP(ABS(Table3[[#This Row],[Type]]),[1]!Table9[#All],2)</f>
        <v>Carpentry</v>
      </c>
    </row>
    <row r="359" spans="1:22" x14ac:dyDescent="0.45">
      <c r="A359" s="24">
        <v>44529</v>
      </c>
      <c r="B359" s="56" t="s">
        <v>446</v>
      </c>
      <c r="C359" s="57">
        <v>3.7</v>
      </c>
      <c r="D359" s="1" t="s">
        <v>351</v>
      </c>
      <c r="E359" s="56" t="s">
        <v>352</v>
      </c>
      <c r="F359" s="28"/>
      <c r="G359" s="29">
        <v>1</v>
      </c>
      <c r="H359" s="28">
        <v>2538</v>
      </c>
      <c r="I359" s="28"/>
      <c r="J359" s="109">
        <f>(Table3[[#This Row],[QTY]]*Table3[[#This Row],[Supplies Cost]])+Table3[[#This Row],[Tax/Fees]]</f>
        <v>2538</v>
      </c>
      <c r="K359" s="40"/>
      <c r="L359" s="154" t="s">
        <v>33</v>
      </c>
      <c r="M359" s="40" t="s">
        <v>47</v>
      </c>
      <c r="N359" s="31"/>
      <c r="O359" s="31"/>
      <c r="P359" s="31"/>
      <c r="Q359" s="31"/>
      <c r="R359" s="31">
        <v>3.7149999999999999</v>
      </c>
      <c r="S359" s="31"/>
      <c r="T359" s="31" t="s">
        <v>354</v>
      </c>
      <c r="U359" s="31" t="str">
        <f>LEFT(Table3[[#This Row],[Stage]],FIND(".",Table3[[#This Row],[Stage]],1)-1)</f>
        <v>3</v>
      </c>
      <c r="V359" s="31" t="str">
        <f>VLOOKUP(ABS(Table3[[#This Row],[Type]]),[1]!Table9[#All],2)</f>
        <v>Masonary</v>
      </c>
    </row>
    <row r="360" spans="1:22" x14ac:dyDescent="0.45">
      <c r="A360" s="24">
        <v>44529</v>
      </c>
      <c r="B360" s="56" t="s">
        <v>447</v>
      </c>
      <c r="C360" s="57">
        <v>1.1100000000000001</v>
      </c>
      <c r="D360" s="152" t="s">
        <v>122</v>
      </c>
      <c r="E360" s="56" t="s">
        <v>448</v>
      </c>
      <c r="F360" s="28"/>
      <c r="G360" s="29">
        <v>1</v>
      </c>
      <c r="H360" s="28">
        <v>20000</v>
      </c>
      <c r="I360" s="30">
        <v>-62.5</v>
      </c>
      <c r="J360" s="109">
        <f>(Table3[[#This Row],[QTY]]*Table3[[#This Row],[Supplies Cost]])+Table3[[#This Row],[Tax/Fees]]</f>
        <v>19937.5</v>
      </c>
      <c r="K360" s="40"/>
      <c r="L360" s="154" t="s">
        <v>33</v>
      </c>
      <c r="M360" s="40" t="s">
        <v>124</v>
      </c>
      <c r="N360" s="31"/>
      <c r="O360" s="31"/>
      <c r="P360" s="31"/>
      <c r="Q360" s="31"/>
      <c r="R360" s="31">
        <v>3.1619999999999999</v>
      </c>
      <c r="S360" s="31"/>
      <c r="T360" s="31" t="s">
        <v>60</v>
      </c>
      <c r="U360" s="31" t="str">
        <f>LEFT(Table3[[#This Row],[Stage]],FIND(".",Table3[[#This Row],[Stage]],1)-1)</f>
        <v>1</v>
      </c>
      <c r="V360" s="31" t="str">
        <f>VLOOKUP(ABS(Table3[[#This Row],[Type]]),[1]!Table9[#All],2)</f>
        <v>Transfers</v>
      </c>
    </row>
    <row r="361" spans="1:22" x14ac:dyDescent="0.45">
      <c r="A361" s="24">
        <v>44531</v>
      </c>
      <c r="B361" s="56" t="s">
        <v>449</v>
      </c>
      <c r="C361" s="57">
        <v>3.8</v>
      </c>
      <c r="D361" s="1" t="s">
        <v>425</v>
      </c>
      <c r="E361" s="56" t="s">
        <v>108</v>
      </c>
      <c r="F361" s="28"/>
      <c r="G361" s="29">
        <v>225</v>
      </c>
      <c r="H361" s="28">
        <v>2.3199999999999998</v>
      </c>
      <c r="I361" s="28"/>
      <c r="J361" s="109">
        <f>(Table3[[#This Row],[QTY]]*Table3[[#This Row],[Supplies Cost]])+Table3[[#This Row],[Tax/Fees]]</f>
        <v>522</v>
      </c>
      <c r="K361" s="40"/>
      <c r="L361" s="154" t="s">
        <v>92</v>
      </c>
      <c r="M361" s="40" t="s">
        <v>47</v>
      </c>
      <c r="N361" s="31"/>
      <c r="O361" s="31" t="s">
        <v>426</v>
      </c>
      <c r="P361" s="31"/>
      <c r="Q361" s="31"/>
      <c r="R361" s="31"/>
      <c r="S361" s="31"/>
      <c r="T361" s="31" t="s">
        <v>160</v>
      </c>
      <c r="U361" s="31" t="str">
        <f>LEFT(Table3[[#This Row],[Stage]],FIND(".",Table3[[#This Row],[Stage]],1)-1)</f>
        <v>3</v>
      </c>
      <c r="V361" s="31" t="str">
        <f>VLOOKUP(ABS(Table3[[#This Row],[Type]]),[1]!Table9[#All],2)</f>
        <v>Masonary</v>
      </c>
    </row>
    <row r="362" spans="1:22" x14ac:dyDescent="0.45">
      <c r="A362" s="24">
        <v>44531</v>
      </c>
      <c r="B362" s="56" t="s">
        <v>450</v>
      </c>
      <c r="C362" s="57">
        <v>3.8</v>
      </c>
      <c r="D362" s="40" t="s">
        <v>425</v>
      </c>
      <c r="E362" s="56" t="s">
        <v>108</v>
      </c>
      <c r="F362" s="28"/>
      <c r="G362" s="29">
        <v>100</v>
      </c>
      <c r="H362" s="28">
        <v>1.8</v>
      </c>
      <c r="I362" s="28"/>
      <c r="J362" s="109">
        <f>(Table3[[#This Row],[QTY]]*Table3[[#This Row],[Supplies Cost]])+Table3[[#This Row],[Tax/Fees]]</f>
        <v>180</v>
      </c>
      <c r="K362" s="40"/>
      <c r="L362" s="154" t="s">
        <v>92</v>
      </c>
      <c r="M362" s="40" t="s">
        <v>47</v>
      </c>
      <c r="N362" s="31"/>
      <c r="O362" s="31" t="s">
        <v>426</v>
      </c>
      <c r="P362" s="31"/>
      <c r="Q362" s="31"/>
      <c r="R362" s="31"/>
      <c r="S362" s="31"/>
      <c r="T362" s="31" t="s">
        <v>160</v>
      </c>
      <c r="U362" s="31" t="str">
        <f>LEFT(Table3[[#This Row],[Stage]],FIND(".",Table3[[#This Row],[Stage]],1)-1)</f>
        <v>3</v>
      </c>
      <c r="V362" s="31" t="str">
        <f>VLOOKUP(ABS(Table3[[#This Row],[Type]]),[1]!Table9[#All],2)</f>
        <v>Masonary</v>
      </c>
    </row>
    <row r="363" spans="1:22" x14ac:dyDescent="0.45">
      <c r="A363" s="24">
        <v>44534</v>
      </c>
      <c r="B363" s="56" t="s">
        <v>451</v>
      </c>
      <c r="C363" s="57">
        <v>3.8</v>
      </c>
      <c r="D363" s="1" t="s">
        <v>351</v>
      </c>
      <c r="E363" s="56" t="s">
        <v>71</v>
      </c>
      <c r="F363" s="58"/>
      <c r="G363" s="29">
        <v>1</v>
      </c>
      <c r="H363" s="58">
        <v>264.93</v>
      </c>
      <c r="I363" s="58"/>
      <c r="J363" s="109">
        <f>(Table3[[#This Row],[QTY]]*Table3[[#This Row],[Supplies Cost]])+Table3[[#This Row],[Tax/Fees]]</f>
        <v>264.93</v>
      </c>
      <c r="K363" s="40"/>
      <c r="L363" s="154" t="s">
        <v>33</v>
      </c>
      <c r="M363" s="40" t="s">
        <v>47</v>
      </c>
      <c r="N363" s="40"/>
      <c r="O363" s="40">
        <v>30402399.48</v>
      </c>
      <c r="P363" s="40"/>
      <c r="Q363" s="40"/>
      <c r="R363" s="40">
        <v>3.81</v>
      </c>
      <c r="S363" s="40"/>
      <c r="T363" s="31" t="s">
        <v>354</v>
      </c>
      <c r="U363" s="40" t="str">
        <f>LEFT(Table3[[#This Row],[Stage]],FIND(".",Table3[[#This Row],[Stage]],1)-1)</f>
        <v>3</v>
      </c>
      <c r="V363" s="31" t="str">
        <f>VLOOKUP(ABS(Table3[[#This Row],[Type]]),[1]!Table9[#All],2)</f>
        <v>Masonary</v>
      </c>
    </row>
    <row r="364" spans="1:22" x14ac:dyDescent="0.45">
      <c r="A364" s="24">
        <v>44537</v>
      </c>
      <c r="B364" s="56" t="s">
        <v>104</v>
      </c>
      <c r="C364" s="57">
        <v>8.0399999999999991</v>
      </c>
      <c r="D364" s="152" t="s">
        <v>144</v>
      </c>
      <c r="E364" s="58" t="s">
        <v>104</v>
      </c>
      <c r="F364" s="58"/>
      <c r="G364" s="29">
        <v>1</v>
      </c>
      <c r="H364" s="58">
        <v>18.18</v>
      </c>
      <c r="I364" s="58"/>
      <c r="J364" s="109">
        <f>(Table3[[#This Row],[QTY]]*Table3[[#This Row],[Supplies Cost]])+Table3[[#This Row],[Tax/Fees]]</f>
        <v>18.18</v>
      </c>
      <c r="K364" s="40"/>
      <c r="L364" s="154" t="s">
        <v>33</v>
      </c>
      <c r="M364" s="40" t="s">
        <v>77</v>
      </c>
      <c r="N364" s="40"/>
      <c r="O364" s="40"/>
      <c r="P364" s="40"/>
      <c r="Q364" s="40"/>
      <c r="R364" s="40">
        <v>8.0425000000000004</v>
      </c>
      <c r="S364" s="40"/>
      <c r="T364" s="31" t="s">
        <v>60</v>
      </c>
      <c r="U364" s="31" t="str">
        <f>LEFT(Table3[[#This Row],[Stage]],FIND(".",Table3[[#This Row],[Stage]],1)-1)</f>
        <v>8</v>
      </c>
      <c r="V364" s="31" t="str">
        <f>VLOOKUP(ABS(Table3[[#This Row],[Type]]),[1]!Table9[#All],2)</f>
        <v>Administrative</v>
      </c>
    </row>
    <row r="365" spans="1:22" ht="30.75" x14ac:dyDescent="0.45">
      <c r="A365" s="24">
        <v>44539</v>
      </c>
      <c r="B365" s="56" t="s">
        <v>452</v>
      </c>
      <c r="C365" s="57">
        <v>7.36</v>
      </c>
      <c r="D365" s="1" t="s">
        <v>351</v>
      </c>
      <c r="E365" s="56" t="s">
        <v>453</v>
      </c>
      <c r="F365" s="58"/>
      <c r="G365" s="29">
        <v>1</v>
      </c>
      <c r="H365" s="58">
        <v>92.33</v>
      </c>
      <c r="I365" s="58"/>
      <c r="J365" s="109">
        <f>(Table3[[#This Row],[QTY]]*Table3[[#This Row],[Supplies Cost]])+Table3[[#This Row],[Tax/Fees]]</f>
        <v>92.33</v>
      </c>
      <c r="K365" s="40"/>
      <c r="L365" s="154" t="s">
        <v>92</v>
      </c>
      <c r="M365" s="40" t="s">
        <v>47</v>
      </c>
      <c r="N365" s="40"/>
      <c r="O365" s="40" t="s">
        <v>454</v>
      </c>
      <c r="P365" s="40"/>
      <c r="Q365" s="40"/>
      <c r="R365" s="40"/>
      <c r="S365" s="40"/>
      <c r="T365" s="31" t="s">
        <v>280</v>
      </c>
      <c r="U365" s="40" t="str">
        <f>LEFT(Table3[[#This Row],[Stage]],FIND(".",Table3[[#This Row],[Stage]],1)-1)</f>
        <v>7</v>
      </c>
      <c r="V365" s="31" t="str">
        <f>VLOOKUP(ABS(Table3[[#This Row],[Type]]),[1]!Table9[#All],2)</f>
        <v>Carpentry</v>
      </c>
    </row>
    <row r="366" spans="1:22" ht="30.75" x14ac:dyDescent="0.45">
      <c r="A366" s="24">
        <v>44539</v>
      </c>
      <c r="B366" s="56" t="s">
        <v>452</v>
      </c>
      <c r="C366" s="57">
        <v>7.36</v>
      </c>
      <c r="D366" s="1" t="s">
        <v>351</v>
      </c>
      <c r="E366" s="56" t="s">
        <v>219</v>
      </c>
      <c r="F366" s="58"/>
      <c r="G366" s="126">
        <v>1</v>
      </c>
      <c r="H366" s="58">
        <v>44.65</v>
      </c>
      <c r="I366" s="58"/>
      <c r="J366" s="109">
        <f>(Table3[[#This Row],[QTY]]*Table3[[#This Row],[Supplies Cost]])+Table3[[#This Row],[Tax/Fees]]</f>
        <v>44.65</v>
      </c>
      <c r="K366" s="40"/>
      <c r="L366" s="154" t="s">
        <v>92</v>
      </c>
      <c r="M366" s="40" t="s">
        <v>47</v>
      </c>
      <c r="N366" s="40"/>
      <c r="O366" s="40" t="s">
        <v>454</v>
      </c>
      <c r="P366" s="40"/>
      <c r="Q366" s="40"/>
      <c r="R366" s="40"/>
      <c r="S366" s="40"/>
      <c r="T366" s="40" t="s">
        <v>280</v>
      </c>
      <c r="U366" s="40" t="str">
        <f>LEFT(Table3[[#This Row],[Stage]],FIND(".",Table3[[#This Row],[Stage]],1)-1)</f>
        <v>7</v>
      </c>
      <c r="V366" s="31" t="str">
        <f>VLOOKUP(ABS(Table3[[#This Row],[Type]]),[1]!Table9[#All],2)</f>
        <v>Carpentry</v>
      </c>
    </row>
    <row r="367" spans="1:22" ht="30.75" x14ac:dyDescent="0.45">
      <c r="A367" s="24">
        <v>44539</v>
      </c>
      <c r="B367" s="56" t="s">
        <v>452</v>
      </c>
      <c r="C367" s="57">
        <v>7.36</v>
      </c>
      <c r="D367" s="1" t="s">
        <v>351</v>
      </c>
      <c r="E367" s="56" t="s">
        <v>82</v>
      </c>
      <c r="F367" s="58"/>
      <c r="G367" s="126">
        <v>1</v>
      </c>
      <c r="H367" s="58">
        <v>470</v>
      </c>
      <c r="I367" s="58"/>
      <c r="J367" s="109">
        <f>(Table3[[#This Row],[QTY]]*Table3[[#This Row],[Supplies Cost]])+Table3[[#This Row],[Tax/Fees]]</f>
        <v>470</v>
      </c>
      <c r="K367" s="40"/>
      <c r="L367" s="154" t="s">
        <v>92</v>
      </c>
      <c r="M367" s="40" t="s">
        <v>47</v>
      </c>
      <c r="N367" s="40"/>
      <c r="O367" s="40" t="s">
        <v>454</v>
      </c>
      <c r="P367" s="40"/>
      <c r="Q367" s="40"/>
      <c r="R367" s="40"/>
      <c r="S367" s="40"/>
      <c r="T367" s="40" t="s">
        <v>280</v>
      </c>
      <c r="U367" s="40" t="str">
        <f>LEFT(Table3[[#This Row],[Stage]],FIND(".",Table3[[#This Row],[Stage]],1)-1)</f>
        <v>7</v>
      </c>
      <c r="V367" s="31" t="str">
        <f>VLOOKUP(ABS(Table3[[#This Row],[Type]]),[1]!Table9[#All],2)</f>
        <v>Carpentry</v>
      </c>
    </row>
    <row r="368" spans="1:22" ht="30.75" x14ac:dyDescent="0.45">
      <c r="A368" s="24">
        <v>44539</v>
      </c>
      <c r="B368" s="56" t="s">
        <v>455</v>
      </c>
      <c r="C368" s="34">
        <v>7.36</v>
      </c>
      <c r="D368" s="31" t="s">
        <v>351</v>
      </c>
      <c r="E368" s="56" t="s">
        <v>456</v>
      </c>
      <c r="F368" s="58"/>
      <c r="G368" s="126">
        <v>1</v>
      </c>
      <c r="H368" s="58">
        <v>84.6</v>
      </c>
      <c r="I368" s="58"/>
      <c r="J368" s="109">
        <f>(Table3[[#This Row],[QTY]]*Table3[[#This Row],[Supplies Cost]])+Table3[[#This Row],[Tax/Fees]]</f>
        <v>84.6</v>
      </c>
      <c r="K368" s="164">
        <v>691.58</v>
      </c>
      <c r="L368" s="154" t="s">
        <v>33</v>
      </c>
      <c r="M368" s="40" t="s">
        <v>47</v>
      </c>
      <c r="N368" s="40"/>
      <c r="O368" s="40" t="s">
        <v>454</v>
      </c>
      <c r="P368" s="40"/>
      <c r="Q368" s="40"/>
      <c r="R368" s="40">
        <v>7.3624999999999998</v>
      </c>
      <c r="S368" s="40"/>
      <c r="T368" s="31" t="s">
        <v>280</v>
      </c>
      <c r="U368" s="40" t="str">
        <f>LEFT(Table3[[#This Row],[Stage]],FIND(".",Table3[[#This Row],[Stage]],1)-1)</f>
        <v>7</v>
      </c>
      <c r="V368" s="31" t="str">
        <f>VLOOKUP(ABS(Table3[[#This Row],[Type]]),[1]!Table9[#All],2)</f>
        <v>Carpentry</v>
      </c>
    </row>
    <row r="369" spans="1:22" x14ac:dyDescent="0.45">
      <c r="A369" s="24">
        <v>44539</v>
      </c>
      <c r="B369" s="56" t="s">
        <v>457</v>
      </c>
      <c r="C369" s="34">
        <v>7.36</v>
      </c>
      <c r="D369" s="31" t="s">
        <v>351</v>
      </c>
      <c r="E369" s="56" t="s">
        <v>69</v>
      </c>
      <c r="F369" s="58"/>
      <c r="G369" s="126">
        <v>1</v>
      </c>
      <c r="H369" s="58">
        <v>3754.5</v>
      </c>
      <c r="I369" s="58"/>
      <c r="J369" s="109">
        <f>(Table3[[#This Row],[QTY]]*Table3[[#This Row],[Supplies Cost]])+Table3[[#This Row],[Tax/Fees]]</f>
        <v>3754.5</v>
      </c>
      <c r="K369" s="40"/>
      <c r="L369" s="154" t="s">
        <v>92</v>
      </c>
      <c r="M369" s="40" t="s">
        <v>34</v>
      </c>
      <c r="N369" s="40"/>
      <c r="O369" s="40">
        <v>21120901</v>
      </c>
      <c r="P369" s="40"/>
      <c r="Q369" s="40"/>
      <c r="R369" s="40"/>
      <c r="S369" s="40"/>
      <c r="T369" s="31" t="s">
        <v>280</v>
      </c>
      <c r="U369" s="40" t="str">
        <f>LEFT(Table3[[#This Row],[Stage]],FIND(".",Table3[[#This Row],[Stage]],1)-1)</f>
        <v>7</v>
      </c>
      <c r="V369" s="31" t="str">
        <f>VLOOKUP(ABS(Table3[[#This Row],[Type]]),[1]!Table9[#All],2)</f>
        <v>Carpentry</v>
      </c>
    </row>
    <row r="370" spans="1:22" x14ac:dyDescent="0.45">
      <c r="A370" s="24">
        <v>44539</v>
      </c>
      <c r="B370" s="56" t="s">
        <v>458</v>
      </c>
      <c r="C370" s="57">
        <v>7.36</v>
      </c>
      <c r="D370" s="31" t="s">
        <v>351</v>
      </c>
      <c r="E370" s="56" t="s">
        <v>69</v>
      </c>
      <c r="F370" s="58"/>
      <c r="G370" s="126">
        <v>1</v>
      </c>
      <c r="H370" s="58">
        <v>1150</v>
      </c>
      <c r="I370" s="58"/>
      <c r="J370" s="109">
        <f>(Table3[[#This Row],[QTY]]*Table3[[#This Row],[Supplies Cost]])+Table3[[#This Row],[Tax/Fees]]</f>
        <v>1150</v>
      </c>
      <c r="K370" s="40"/>
      <c r="L370" s="154" t="s">
        <v>92</v>
      </c>
      <c r="M370" s="40" t="s">
        <v>34</v>
      </c>
      <c r="N370" s="40"/>
      <c r="O370" s="40">
        <v>21120901</v>
      </c>
      <c r="P370" s="40"/>
      <c r="Q370" s="40"/>
      <c r="R370" s="40"/>
      <c r="S370" s="40"/>
      <c r="T370" s="40" t="s">
        <v>365</v>
      </c>
      <c r="U370" s="40" t="str">
        <f>LEFT(Table3[[#This Row],[Stage]],FIND(".",Table3[[#This Row],[Stage]],1)-1)</f>
        <v>7</v>
      </c>
      <c r="V370" s="31" t="str">
        <f>VLOOKUP(ABS(Table3[[#This Row],[Type]]),[1]!Table9[#All],2)</f>
        <v>Carpentry</v>
      </c>
    </row>
    <row r="371" spans="1:22" x14ac:dyDescent="0.45">
      <c r="A371" s="24">
        <v>44539</v>
      </c>
      <c r="B371" s="56" t="s">
        <v>459</v>
      </c>
      <c r="C371" s="34">
        <v>7.36</v>
      </c>
      <c r="D371" s="1" t="s">
        <v>351</v>
      </c>
      <c r="E371" s="56" t="s">
        <v>69</v>
      </c>
      <c r="F371" s="58"/>
      <c r="G371" s="126">
        <v>1</v>
      </c>
      <c r="H371" s="58">
        <v>450</v>
      </c>
      <c r="I371" s="58"/>
      <c r="J371" s="109">
        <f>(Table3[[#This Row],[QTY]]*Table3[[#This Row],[Supplies Cost]])+Table3[[#This Row],[Tax/Fees]]</f>
        <v>450</v>
      </c>
      <c r="K371" s="164">
        <v>5354.5</v>
      </c>
      <c r="L371" s="154" t="s">
        <v>33</v>
      </c>
      <c r="M371" s="40" t="s">
        <v>34</v>
      </c>
      <c r="N371" s="40"/>
      <c r="O371" s="40">
        <v>21120901</v>
      </c>
      <c r="P371" s="40"/>
      <c r="Q371" s="40"/>
      <c r="R371" s="40">
        <v>7.3620000000000001</v>
      </c>
      <c r="S371" s="40"/>
      <c r="T371" s="40" t="s">
        <v>280</v>
      </c>
      <c r="U371" s="40" t="str">
        <f>LEFT(Table3[[#This Row],[Stage]],FIND(".",Table3[[#This Row],[Stage]],1)-1)</f>
        <v>7</v>
      </c>
      <c r="V371" s="31" t="str">
        <f>VLOOKUP(ABS(Table3[[#This Row],[Type]]),[1]!Table9[#All],2)</f>
        <v>Carpentry</v>
      </c>
    </row>
    <row r="372" spans="1:22" x14ac:dyDescent="0.45">
      <c r="A372" s="24">
        <v>44540</v>
      </c>
      <c r="B372" s="56" t="s">
        <v>460</v>
      </c>
      <c r="C372" s="57">
        <v>1.1100000000000001</v>
      </c>
      <c r="D372" s="152" t="s">
        <v>122</v>
      </c>
      <c r="E372" s="56" t="s">
        <v>123</v>
      </c>
      <c r="F372" s="58"/>
      <c r="G372" s="174">
        <v>1</v>
      </c>
      <c r="H372" s="58">
        <v>40000</v>
      </c>
      <c r="I372" s="58">
        <v>-125</v>
      </c>
      <c r="J372" s="109">
        <f>(Table3[[#This Row],[QTY]]*Table3[[#This Row],[Supplies Cost]])+Table3[[#This Row],[Tax/Fees]]</f>
        <v>39875</v>
      </c>
      <c r="K372" s="40"/>
      <c r="L372" s="154" t="s">
        <v>33</v>
      </c>
      <c r="M372" s="40" t="s">
        <v>124</v>
      </c>
      <c r="N372" s="40"/>
      <c r="O372" s="40"/>
      <c r="P372" s="40"/>
      <c r="Q372" s="40"/>
      <c r="R372" s="40">
        <v>7.3624999999999998</v>
      </c>
      <c r="S372" s="40"/>
      <c r="T372" s="40" t="s">
        <v>60</v>
      </c>
      <c r="U372" s="40" t="str">
        <f>LEFT(Table3[[#This Row],[Stage]],FIND(".",Table3[[#This Row],[Stage]],1)-1)</f>
        <v>1</v>
      </c>
      <c r="V372" s="31" t="str">
        <f>VLOOKUP(ABS(Table3[[#This Row],[Type]]),[1]!Table9[#All],2)</f>
        <v>Transfers</v>
      </c>
    </row>
    <row r="373" spans="1:22" x14ac:dyDescent="0.45">
      <c r="A373" s="24">
        <v>44542</v>
      </c>
      <c r="B373" s="56" t="s">
        <v>461</v>
      </c>
      <c r="C373" s="57">
        <v>8.01</v>
      </c>
      <c r="D373" s="1" t="s">
        <v>351</v>
      </c>
      <c r="E373" s="90" t="s">
        <v>122</v>
      </c>
      <c r="F373" s="28"/>
      <c r="G373" s="126">
        <v>1</v>
      </c>
      <c r="H373" s="28">
        <v>2000</v>
      </c>
      <c r="I373" s="58"/>
      <c r="J373" s="109">
        <f>(Table3[[#This Row],[QTY]]*Table3[[#This Row],[Supplies Cost]])+Table3[[#This Row],[Tax/Fees]]</f>
        <v>2000</v>
      </c>
      <c r="K373" s="40"/>
      <c r="L373" s="154" t="s">
        <v>33</v>
      </c>
      <c r="M373" s="40" t="s">
        <v>47</v>
      </c>
      <c r="N373" s="40"/>
      <c r="O373" s="40"/>
      <c r="P373" s="40"/>
      <c r="Q373" s="40"/>
      <c r="R373" s="40"/>
      <c r="S373" s="40"/>
      <c r="T373" s="31" t="s">
        <v>60</v>
      </c>
      <c r="U373" s="40" t="str">
        <f>LEFT(Table3[[#This Row],[Stage]],FIND(".",Table3[[#This Row],[Stage]],1)-1)</f>
        <v>8</v>
      </c>
      <c r="V373" s="31" t="str">
        <f>VLOOKUP(ABS(Table3[[#This Row],[Type]]),[1]!Table9[#All],2)</f>
        <v>Administrative</v>
      </c>
    </row>
    <row r="374" spans="1:22" x14ac:dyDescent="0.45">
      <c r="A374" s="24">
        <v>44543</v>
      </c>
      <c r="B374" s="56" t="s">
        <v>339</v>
      </c>
      <c r="C374" s="57">
        <v>7.36</v>
      </c>
      <c r="D374" s="90" t="s">
        <v>279</v>
      </c>
      <c r="E374" s="56" t="s">
        <v>71</v>
      </c>
      <c r="F374" s="58"/>
      <c r="G374" s="126">
        <v>1</v>
      </c>
      <c r="H374" s="58">
        <v>695.01</v>
      </c>
      <c r="I374" s="58"/>
      <c r="J374" s="109">
        <f>(Table3[[#This Row],[QTY]]*Table3[[#This Row],[Supplies Cost]])+Table3[[#This Row],[Tax/Fees]]</f>
        <v>695.01</v>
      </c>
      <c r="K374" s="40"/>
      <c r="L374" s="154" t="s">
        <v>33</v>
      </c>
      <c r="M374" s="40" t="s">
        <v>47</v>
      </c>
      <c r="N374" s="40"/>
      <c r="O374" s="40"/>
      <c r="P374" s="40"/>
      <c r="Q374" s="40"/>
      <c r="R374" s="40">
        <v>7.3635000000000002</v>
      </c>
      <c r="S374" s="40"/>
      <c r="T374" s="40" t="s">
        <v>236</v>
      </c>
      <c r="U374" s="40" t="str">
        <f>LEFT(Table3[[#This Row],[Stage]],FIND(".",Table3[[#This Row],[Stage]],1)-1)</f>
        <v>7</v>
      </c>
      <c r="V374" s="31" t="str">
        <f>VLOOKUP(ABS(Table3[[#This Row],[Type]]),[1]!Table9[#All],2)</f>
        <v>Carpentry</v>
      </c>
    </row>
    <row r="375" spans="1:22" x14ac:dyDescent="0.45">
      <c r="A375" s="24">
        <v>44543</v>
      </c>
      <c r="B375" s="56" t="s">
        <v>462</v>
      </c>
      <c r="C375" s="57">
        <v>7.36</v>
      </c>
      <c r="D375" s="40" t="s">
        <v>351</v>
      </c>
      <c r="E375" s="56" t="s">
        <v>82</v>
      </c>
      <c r="F375" s="58"/>
      <c r="G375" s="126">
        <v>1</v>
      </c>
      <c r="H375" s="58">
        <v>144.63999999999999</v>
      </c>
      <c r="I375" s="58"/>
      <c r="J375" s="109">
        <f>(Table3[[#This Row],[QTY]]*Table3[[#This Row],[Supplies Cost]])+Table3[[#This Row],[Tax/Fees]]</f>
        <v>144.63999999999999</v>
      </c>
      <c r="K375" s="40"/>
      <c r="L375" s="154" t="s">
        <v>33</v>
      </c>
      <c r="M375" s="40" t="s">
        <v>47</v>
      </c>
      <c r="N375" s="40"/>
      <c r="O375" s="40"/>
      <c r="P375" s="40"/>
      <c r="Q375" s="40"/>
      <c r="R375" s="40">
        <v>7.3630000000000004</v>
      </c>
      <c r="S375" s="40"/>
      <c r="T375" s="40" t="s">
        <v>280</v>
      </c>
      <c r="U375" s="40" t="str">
        <f>LEFT(Table3[[#This Row],[Stage]],FIND(".",Table3[[#This Row],[Stage]],1)-1)</f>
        <v>7</v>
      </c>
      <c r="V375" s="31" t="str">
        <f>VLOOKUP(ABS(Table3[[#This Row],[Type]]),[1]!Table9[#All],2)</f>
        <v>Carpentry</v>
      </c>
    </row>
    <row r="376" spans="1:22" x14ac:dyDescent="0.45">
      <c r="A376" s="24">
        <v>44544</v>
      </c>
      <c r="B376" s="56" t="s">
        <v>463</v>
      </c>
      <c r="C376" s="57">
        <v>3.8</v>
      </c>
      <c r="D376" s="40" t="s">
        <v>351</v>
      </c>
      <c r="E376" s="56" t="s">
        <v>448</v>
      </c>
      <c r="F376" s="58"/>
      <c r="G376" s="126">
        <v>1</v>
      </c>
      <c r="H376" s="58">
        <v>130.07</v>
      </c>
      <c r="I376" s="58"/>
      <c r="J376" s="109">
        <f>(Table3[[#This Row],[QTY]]*Table3[[#This Row],[Supplies Cost]])+Table3[[#This Row],[Tax/Fees]]</f>
        <v>130.07</v>
      </c>
      <c r="K376" s="40"/>
      <c r="L376" s="154" t="s">
        <v>33</v>
      </c>
      <c r="M376" s="40" t="s">
        <v>47</v>
      </c>
      <c r="N376" s="40"/>
      <c r="O376" s="40"/>
      <c r="P376" s="40"/>
      <c r="Q376" s="40"/>
      <c r="R376" s="40">
        <v>3.81</v>
      </c>
      <c r="S376" s="40"/>
      <c r="T376" s="40" t="s">
        <v>354</v>
      </c>
      <c r="U376" s="40" t="str">
        <f>LEFT(Table3[[#This Row],[Stage]],FIND(".",Table3[[#This Row],[Stage]],1)-1)</f>
        <v>3</v>
      </c>
      <c r="V376" s="31" t="str">
        <f>VLOOKUP(ABS(Table3[[#This Row],[Type]]),[1]!Table9[#All],2)</f>
        <v>Masonary</v>
      </c>
    </row>
    <row r="377" spans="1:22" x14ac:dyDescent="0.45">
      <c r="A377" s="24">
        <v>44544</v>
      </c>
      <c r="B377" s="56" t="s">
        <v>464</v>
      </c>
      <c r="C377" s="57">
        <v>1.1100000000000001</v>
      </c>
      <c r="D377" s="40" t="s">
        <v>351</v>
      </c>
      <c r="E377" s="56" t="s">
        <v>448</v>
      </c>
      <c r="F377" s="58"/>
      <c r="G377" s="126">
        <v>1</v>
      </c>
      <c r="H377" s="58">
        <v>130.07</v>
      </c>
      <c r="I377" s="58"/>
      <c r="J377" s="109">
        <f>(Table3[[#This Row],[QTY]]*Table3[[#This Row],[Supplies Cost]])+Table3[[#This Row],[Tax/Fees]]</f>
        <v>130.07</v>
      </c>
      <c r="K377" s="40"/>
      <c r="L377" s="154" t="s">
        <v>33</v>
      </c>
      <c r="M377" s="40" t="s">
        <v>124</v>
      </c>
      <c r="N377" s="40"/>
      <c r="O377" s="40"/>
      <c r="P377" s="40"/>
      <c r="Q377" s="40"/>
      <c r="R377" s="40">
        <v>3.8149999999999999</v>
      </c>
      <c r="S377" s="40"/>
      <c r="T377" s="40" t="s">
        <v>60</v>
      </c>
      <c r="U377" s="40" t="str">
        <f>LEFT(Table3[[#This Row],[Stage]],FIND(".",Table3[[#This Row],[Stage]],1)-1)</f>
        <v>1</v>
      </c>
      <c r="V377" s="31" t="str">
        <f>VLOOKUP(ABS(Table3[[#This Row],[Type]]),[1]!Table9[#All],2)</f>
        <v>Transfers</v>
      </c>
    </row>
    <row r="378" spans="1:22" x14ac:dyDescent="0.45">
      <c r="A378" s="24">
        <v>44546</v>
      </c>
      <c r="B378" s="56" t="s">
        <v>465</v>
      </c>
      <c r="C378" s="57">
        <v>7.36</v>
      </c>
      <c r="D378" s="40" t="s">
        <v>279</v>
      </c>
      <c r="E378" s="56" t="s">
        <v>116</v>
      </c>
      <c r="F378" s="58"/>
      <c r="G378" s="126">
        <v>1</v>
      </c>
      <c r="H378" s="58">
        <v>2138.5</v>
      </c>
      <c r="I378" s="58"/>
      <c r="J378" s="109">
        <f>(Table3[[#This Row],[QTY]]*Table3[[#This Row],[Supplies Cost]])+Table3[[#This Row],[Tax/Fees]]</f>
        <v>2138.5</v>
      </c>
      <c r="K378" s="164"/>
      <c r="L378" s="154" t="s">
        <v>33</v>
      </c>
      <c r="M378" s="40" t="s">
        <v>77</v>
      </c>
      <c r="N378" s="40"/>
      <c r="O378" s="40"/>
      <c r="P378" s="40"/>
      <c r="Q378" s="40"/>
      <c r="R378" s="40">
        <v>7.3615000000000004</v>
      </c>
      <c r="S378" s="40"/>
      <c r="T378" s="31" t="s">
        <v>244</v>
      </c>
      <c r="U378" s="40" t="str">
        <f>LEFT(Table3[[#This Row],[Stage]],FIND(".",Table3[[#This Row],[Stage]],1)-1)</f>
        <v>7</v>
      </c>
      <c r="V378" s="31" t="str">
        <f>VLOOKUP(ABS(Table3[[#This Row],[Type]]),[1]!Table9[#All],2)</f>
        <v>Carpentry</v>
      </c>
    </row>
    <row r="379" spans="1:22" x14ac:dyDescent="0.45">
      <c r="A379" s="24">
        <v>44546</v>
      </c>
      <c r="B379" s="56" t="s">
        <v>466</v>
      </c>
      <c r="C379" s="34">
        <v>3.1</v>
      </c>
      <c r="D379" s="31" t="s">
        <v>213</v>
      </c>
      <c r="E379" s="58" t="s">
        <v>239</v>
      </c>
      <c r="F379" s="58"/>
      <c r="G379" s="126">
        <v>1</v>
      </c>
      <c r="H379" s="58">
        <v>1050</v>
      </c>
      <c r="I379" s="58"/>
      <c r="J379" s="109">
        <f>(Table3[[#This Row],[QTY]]*Table3[[#This Row],[Supplies Cost]])+Table3[[#This Row],[Tax/Fees]]</f>
        <v>1050</v>
      </c>
      <c r="K379" s="40"/>
      <c r="L379" s="154" t="s">
        <v>33</v>
      </c>
      <c r="M379" s="40" t="s">
        <v>77</v>
      </c>
      <c r="N379" s="40"/>
      <c r="O379" s="40"/>
      <c r="P379" s="40"/>
      <c r="Q379" s="40"/>
      <c r="R379" s="40">
        <v>3.11</v>
      </c>
      <c r="S379" s="40"/>
      <c r="T379" s="40" t="s">
        <v>236</v>
      </c>
      <c r="U379" s="40" t="str">
        <f>LEFT(Table3[[#This Row],[Stage]],FIND(".",Table3[[#This Row],[Stage]],1)-1)</f>
        <v>3</v>
      </c>
      <c r="V379" s="31" t="str">
        <f>VLOOKUP(ABS(Table3[[#This Row],[Type]]),[1]!Table9[#All],2)</f>
        <v>Masonary</v>
      </c>
    </row>
    <row r="380" spans="1:22" x14ac:dyDescent="0.45">
      <c r="A380" s="24">
        <v>44550</v>
      </c>
      <c r="B380" s="56" t="s">
        <v>467</v>
      </c>
      <c r="C380" s="34">
        <v>26.5</v>
      </c>
      <c r="D380" s="40" t="s">
        <v>279</v>
      </c>
      <c r="E380" s="58" t="s">
        <v>468</v>
      </c>
      <c r="F380" s="58"/>
      <c r="G380" s="126">
        <v>1</v>
      </c>
      <c r="H380" s="58">
        <v>2536.83</v>
      </c>
      <c r="I380" s="58">
        <v>10</v>
      </c>
      <c r="J380" s="109">
        <f>(Table3[[#This Row],[QTY]]*Table3[[#This Row],[Supplies Cost]])+Table3[[#This Row],[Tax/Fees]]</f>
        <v>2546.83</v>
      </c>
      <c r="K380" s="40"/>
      <c r="L380" s="154" t="s">
        <v>33</v>
      </c>
      <c r="M380" s="40" t="s">
        <v>47</v>
      </c>
      <c r="N380" s="40"/>
      <c r="O380" s="40"/>
      <c r="P380" s="40"/>
      <c r="Q380" s="40"/>
      <c r="R380" s="40">
        <v>10.41</v>
      </c>
      <c r="S380" s="40"/>
      <c r="T380" s="40" t="s">
        <v>280</v>
      </c>
      <c r="U380" s="40" t="str">
        <f>LEFT(Table3[[#This Row],[Stage]],FIND(".",Table3[[#This Row],[Stage]],1)-1)</f>
        <v>26</v>
      </c>
      <c r="V380" s="31" t="str">
        <f>VLOOKUP(ABS(Table3[[#This Row],[Type]]),[1]!Table9[#All],2)</f>
        <v>Painting</v>
      </c>
    </row>
    <row r="381" spans="1:22" x14ac:dyDescent="0.45">
      <c r="A381" s="24">
        <v>44551</v>
      </c>
      <c r="B381" s="56" t="s">
        <v>469</v>
      </c>
      <c r="C381" s="57">
        <v>26.4</v>
      </c>
      <c r="D381" s="57" t="s">
        <v>431</v>
      </c>
      <c r="E381" s="56" t="s">
        <v>470</v>
      </c>
      <c r="F381" s="58"/>
      <c r="G381" s="126">
        <v>1</v>
      </c>
      <c r="H381" s="58">
        <v>1600</v>
      </c>
      <c r="I381" s="58"/>
      <c r="J381" s="109">
        <f>(Table3[[#This Row],[QTY]]*Table3[[#This Row],[Supplies Cost]])+Table3[[#This Row],[Tax/Fees]]</f>
        <v>1600</v>
      </c>
      <c r="K381" s="40"/>
      <c r="L381" s="154" t="s">
        <v>92</v>
      </c>
      <c r="M381" s="40" t="s">
        <v>34</v>
      </c>
      <c r="N381" s="40"/>
      <c r="O381" s="40" t="s">
        <v>471</v>
      </c>
      <c r="P381" s="40"/>
      <c r="Q381" s="40"/>
      <c r="R381" s="40"/>
      <c r="S381" s="40"/>
      <c r="T381" s="40" t="s">
        <v>433</v>
      </c>
      <c r="U381" s="40" t="str">
        <f>LEFT(Table3[[#This Row],[Stage]],FIND(".",Table3[[#This Row],[Stage]],1)-1)</f>
        <v>26</v>
      </c>
      <c r="V381" s="31" t="str">
        <f>VLOOKUP(ABS(Table3[[#This Row],[Type]]),[1]!Table9[#All],2)</f>
        <v>Painting</v>
      </c>
    </row>
    <row r="382" spans="1:22" x14ac:dyDescent="0.45">
      <c r="A382" s="24">
        <v>44551</v>
      </c>
      <c r="B382" s="56" t="s">
        <v>472</v>
      </c>
      <c r="C382" s="57">
        <v>26.4</v>
      </c>
      <c r="D382" s="57" t="s">
        <v>431</v>
      </c>
      <c r="E382" t="s">
        <v>470</v>
      </c>
      <c r="F382" s="58"/>
      <c r="G382" s="126">
        <v>1</v>
      </c>
      <c r="H382" s="58">
        <v>38.93</v>
      </c>
      <c r="I382" s="58"/>
      <c r="J382" s="109">
        <f>(Table3[[#This Row],[QTY]]*Table3[[#This Row],[Supplies Cost]])+Table3[[#This Row],[Tax/Fees]]</f>
        <v>38.93</v>
      </c>
      <c r="K382" s="164">
        <v>1638.93</v>
      </c>
      <c r="L382" s="154" t="s">
        <v>33</v>
      </c>
      <c r="M382" s="40" t="s">
        <v>47</v>
      </c>
      <c r="N382" s="40"/>
      <c r="O382" s="40" t="s">
        <v>471</v>
      </c>
      <c r="P382" s="40"/>
      <c r="Q382" s="40"/>
      <c r="R382" s="40">
        <v>26.414999999999999</v>
      </c>
      <c r="S382" s="40"/>
      <c r="T382" s="40" t="s">
        <v>433</v>
      </c>
      <c r="U382" s="40" t="str">
        <f>LEFT(Table3[[#This Row],[Stage]],FIND(".",Table3[[#This Row],[Stage]],1)-1)</f>
        <v>26</v>
      </c>
      <c r="V382" s="31" t="str">
        <f>VLOOKUP(ABS(Table3[[#This Row],[Type]]),[1]!Table9[#All],2)</f>
        <v>Painting</v>
      </c>
    </row>
    <row r="383" spans="1:22" x14ac:dyDescent="0.45">
      <c r="A383" s="74">
        <v>44554</v>
      </c>
      <c r="B383" s="171" t="s">
        <v>232</v>
      </c>
      <c r="C383" s="169">
        <v>3.8</v>
      </c>
      <c r="D383" s="175" t="s">
        <v>177</v>
      </c>
      <c r="E383" s="75" t="s">
        <v>67</v>
      </c>
      <c r="F383" s="176"/>
      <c r="G383" s="160">
        <v>1</v>
      </c>
      <c r="H383" s="176">
        <v>1000</v>
      </c>
      <c r="I383" s="176"/>
      <c r="J383" s="161">
        <f>(Table3[[#This Row],[QTY]]*Table3[[#This Row],[Supplies Cost]])+Table3[[#This Row],[Tax/Fees]]</f>
        <v>1000</v>
      </c>
      <c r="K383" s="86"/>
      <c r="L383" s="172" t="s">
        <v>33</v>
      </c>
      <c r="M383" s="86" t="s">
        <v>34</v>
      </c>
      <c r="N383" s="86"/>
      <c r="O383" s="86" t="s">
        <v>473</v>
      </c>
      <c r="P383" s="86"/>
      <c r="Q383" s="86"/>
      <c r="R383" s="86">
        <v>3.81</v>
      </c>
      <c r="S383" s="86"/>
      <c r="T383" s="86" t="s">
        <v>142</v>
      </c>
      <c r="U383" s="86" t="str">
        <f>LEFT(Table3[[#This Row],[Stage]],FIND(".",Table3[[#This Row],[Stage]],1)-1)</f>
        <v>3</v>
      </c>
      <c r="V383" s="82" t="str">
        <f>VLOOKUP(ABS(Table3[[#This Row],[Type]]),[1]!Table9[#All],2)</f>
        <v>Masonary</v>
      </c>
    </row>
    <row r="384" spans="1:22" x14ac:dyDescent="0.45">
      <c r="A384" s="74">
        <v>44554</v>
      </c>
      <c r="B384" s="171" t="s">
        <v>232</v>
      </c>
      <c r="C384" s="169">
        <v>3.8</v>
      </c>
      <c r="D384" s="175" t="s">
        <v>177</v>
      </c>
      <c r="E384" s="171" t="s">
        <v>67</v>
      </c>
      <c r="F384" s="176"/>
      <c r="G384" s="160">
        <v>1</v>
      </c>
      <c r="H384" s="176">
        <v>9000</v>
      </c>
      <c r="I384" s="176"/>
      <c r="J384" s="161">
        <f>(Table3[[#This Row],[QTY]]*Table3[[#This Row],[Supplies Cost]])+Table3[[#This Row],[Tax/Fees]]</f>
        <v>9000</v>
      </c>
      <c r="K384" s="86">
        <v>10000</v>
      </c>
      <c r="L384" s="172" t="s">
        <v>33</v>
      </c>
      <c r="M384" s="86" t="s">
        <v>34</v>
      </c>
      <c r="N384" s="86"/>
      <c r="O384" s="86" t="s">
        <v>473</v>
      </c>
      <c r="P384" s="86"/>
      <c r="Q384" s="86"/>
      <c r="R384" s="86">
        <v>3.81</v>
      </c>
      <c r="S384" s="86"/>
      <c r="T384" s="86" t="s">
        <v>354</v>
      </c>
      <c r="U384" s="86" t="str">
        <f>LEFT(Table3[[#This Row],[Stage]],FIND(".",Table3[[#This Row],[Stage]],1)-1)</f>
        <v>3</v>
      </c>
      <c r="V384" s="82" t="str">
        <f>VLOOKUP(ABS(Table3[[#This Row],[Type]]),[1]!Table9[#All],2)</f>
        <v>Masonary</v>
      </c>
    </row>
    <row r="385" spans="1:22" ht="30.75" x14ac:dyDescent="0.45">
      <c r="A385" s="24">
        <v>44558</v>
      </c>
      <c r="B385" s="56" t="s">
        <v>474</v>
      </c>
      <c r="C385" s="57">
        <v>5.44</v>
      </c>
      <c r="D385" s="90" t="s">
        <v>45</v>
      </c>
      <c r="E385" s="57">
        <v>5.44</v>
      </c>
      <c r="F385" s="90" t="s">
        <v>45</v>
      </c>
      <c r="G385" s="126">
        <v>1</v>
      </c>
      <c r="H385" s="58">
        <v>510</v>
      </c>
      <c r="I385" s="58"/>
      <c r="J385" s="109">
        <f>(Table3[[#This Row],[QTY]]*Table3[[#This Row],[Supplies Cost]])+Table3[[#This Row],[Tax/Fees]]</f>
        <v>510</v>
      </c>
      <c r="K385" s="40"/>
      <c r="L385" s="154" t="s">
        <v>33</v>
      </c>
      <c r="M385" s="40" t="s">
        <v>77</v>
      </c>
      <c r="N385" s="40"/>
      <c r="O385" s="40"/>
      <c r="P385" s="40"/>
      <c r="Q385" s="40"/>
      <c r="R385" s="40">
        <v>5.4414999999999996</v>
      </c>
      <c r="S385" s="40"/>
      <c r="T385" s="40" t="s">
        <v>79</v>
      </c>
      <c r="U385" s="40" t="str">
        <f>LEFT(Table3[[#This Row],[Stage]],FIND(".",Table3[[#This Row],[Stage]],1)-1)</f>
        <v>5</v>
      </c>
      <c r="V385" s="31" t="str">
        <f>VLOOKUP(ABS(Table3[[#This Row],[Type]]),[1]!Table9[#All],2)</f>
        <v>Earthworks</v>
      </c>
    </row>
    <row r="386" spans="1:22" x14ac:dyDescent="0.45">
      <c r="A386" s="24">
        <v>44558</v>
      </c>
      <c r="B386" s="56" t="s">
        <v>429</v>
      </c>
      <c r="C386" s="57">
        <v>8.0399999999999991</v>
      </c>
      <c r="D386" s="90" t="s">
        <v>45</v>
      </c>
      <c r="E386" s="56" t="s">
        <v>127</v>
      </c>
      <c r="F386" s="58"/>
      <c r="G386" s="126">
        <v>1</v>
      </c>
      <c r="H386" s="58">
        <v>305.5</v>
      </c>
      <c r="I386" s="58"/>
      <c r="J386" s="109">
        <f>(Table3[[#This Row],[QTY]]*Table3[[#This Row],[Supplies Cost]])+Table3[[#This Row],[Tax/Fees]]</f>
        <v>305.5</v>
      </c>
      <c r="K386" s="40"/>
      <c r="L386" s="154" t="s">
        <v>33</v>
      </c>
      <c r="M386" s="40" t="s">
        <v>77</v>
      </c>
      <c r="N386" s="40"/>
      <c r="O386" s="40"/>
      <c r="P386" s="40"/>
      <c r="Q386" s="40"/>
      <c r="R386" s="40">
        <v>8.0414999999999992</v>
      </c>
      <c r="S386" s="40"/>
      <c r="T386" s="40" t="s">
        <v>292</v>
      </c>
      <c r="U386" s="40" t="str">
        <f>LEFT(Table3[[#This Row],[Stage]],FIND(".",Table3[[#This Row],[Stage]],1)-1)</f>
        <v>8</v>
      </c>
      <c r="V386" s="31" t="str">
        <f>VLOOKUP(ABS(Table3[[#This Row],[Type]]),[1]!Table9[#All],2)</f>
        <v>Administrative</v>
      </c>
    </row>
    <row r="387" spans="1:22" x14ac:dyDescent="0.45">
      <c r="A387" s="24">
        <v>44558</v>
      </c>
      <c r="B387" s="56" t="s">
        <v>475</v>
      </c>
      <c r="C387" s="127">
        <v>8.0299999999999994</v>
      </c>
      <c r="D387" s="40" t="s">
        <v>144</v>
      </c>
      <c r="E387" s="56" t="s">
        <v>46</v>
      </c>
      <c r="F387" s="58"/>
      <c r="G387" s="126">
        <v>1</v>
      </c>
      <c r="H387" s="58">
        <v>168.38</v>
      </c>
      <c r="I387" s="58"/>
      <c r="J387" s="109">
        <f>(Table3[[#This Row],[QTY]]*Table3[[#This Row],[Supplies Cost]])+Table3[[#This Row],[Tax/Fees]]</f>
        <v>168.38</v>
      </c>
      <c r="K387" s="40"/>
      <c r="L387" s="154" t="s">
        <v>33</v>
      </c>
      <c r="M387" s="40" t="s">
        <v>77</v>
      </c>
      <c r="N387" s="40"/>
      <c r="O387" s="40"/>
      <c r="P387" s="40"/>
      <c r="Q387" s="40"/>
      <c r="R387" s="40">
        <v>8.0310000000000006</v>
      </c>
      <c r="S387" s="40"/>
      <c r="T387" s="31" t="s">
        <v>60</v>
      </c>
      <c r="U387" s="40" t="str">
        <f>LEFT(Table3[[#This Row],[Stage]],FIND(".",Table3[[#This Row],[Stage]],1)-1)</f>
        <v>8</v>
      </c>
      <c r="V387" s="31" t="str">
        <f>VLOOKUP(ABS(Table3[[#This Row],[Type]]),[1]!Table9[#All],2)</f>
        <v>Administrative</v>
      </c>
    </row>
    <row r="388" spans="1:22" x14ac:dyDescent="0.45">
      <c r="A388" s="24">
        <v>44560</v>
      </c>
      <c r="B388" s="56" t="s">
        <v>476</v>
      </c>
      <c r="C388" s="57">
        <v>3.8</v>
      </c>
      <c r="D388" s="1" t="s">
        <v>351</v>
      </c>
      <c r="E388" s="58" t="s">
        <v>477</v>
      </c>
      <c r="F388" s="58"/>
      <c r="G388" s="126">
        <v>10</v>
      </c>
      <c r="H388" s="58">
        <v>14.7</v>
      </c>
      <c r="I388" s="58">
        <v>25.73</v>
      </c>
      <c r="J388" s="109">
        <f>(Table3[[#This Row],[QTY]]*Table3[[#This Row],[Supplies Cost]])+Table3[[#This Row],[Tax/Fees]]</f>
        <v>172.73</v>
      </c>
      <c r="K388" s="40"/>
      <c r="L388" s="154" t="s">
        <v>33</v>
      </c>
      <c r="M388" s="40" t="s">
        <v>47</v>
      </c>
      <c r="N388" s="40" t="s">
        <v>48</v>
      </c>
      <c r="O388" s="40"/>
      <c r="P388" s="40" t="s">
        <v>49</v>
      </c>
      <c r="Q388" s="40"/>
      <c r="R388" s="40">
        <v>3.81</v>
      </c>
      <c r="S388" s="40"/>
      <c r="T388" s="31" t="s">
        <v>354</v>
      </c>
      <c r="U388" s="40" t="str">
        <f>LEFT(Table3[[#This Row],[Stage]],FIND(".",Table3[[#This Row],[Stage]],1)-1)</f>
        <v>3</v>
      </c>
      <c r="V388" s="31" t="str">
        <f>VLOOKUP(ABS(Table3[[#This Row],[Type]]),[1]!Table9[#All],2)</f>
        <v>Masonary</v>
      </c>
    </row>
    <row r="389" spans="1:22" x14ac:dyDescent="0.45">
      <c r="A389" s="24">
        <v>44564</v>
      </c>
      <c r="B389" s="56" t="s">
        <v>372</v>
      </c>
      <c r="C389" s="34">
        <v>7.36</v>
      </c>
      <c r="D389" s="1" t="s">
        <v>439</v>
      </c>
      <c r="E389" s="56" t="s">
        <v>116</v>
      </c>
      <c r="F389" s="58"/>
      <c r="G389" s="126">
        <v>1</v>
      </c>
      <c r="H389" s="58">
        <v>1069.25</v>
      </c>
      <c r="I389" s="58"/>
      <c r="J389" s="109">
        <f>(Table3[[#This Row],[QTY]]*Table3[[#This Row],[Supplies Cost]])+Table3[[#This Row],[Tax/Fees]]</f>
        <v>1069.25</v>
      </c>
      <c r="K389" s="40"/>
      <c r="L389" s="154" t="s">
        <v>33</v>
      </c>
      <c r="M389" s="40" t="s">
        <v>77</v>
      </c>
      <c r="N389" s="40"/>
      <c r="O389" s="40"/>
      <c r="P389" s="31"/>
      <c r="Q389" s="40"/>
      <c r="R389" s="40">
        <v>7.3615000000000004</v>
      </c>
      <c r="S389" s="40"/>
      <c r="T389" s="40" t="s">
        <v>433</v>
      </c>
      <c r="U389" s="40" t="str">
        <f>LEFT(Table3[[#This Row],[Stage]],FIND(".",Table3[[#This Row],[Stage]],1)-1)</f>
        <v>7</v>
      </c>
      <c r="V389" s="31" t="str">
        <f>VLOOKUP(ABS(Table3[[#This Row],[Type]]),[1]!Table9[#All],2)</f>
        <v>Carpentry</v>
      </c>
    </row>
    <row r="390" spans="1:22" x14ac:dyDescent="0.45">
      <c r="A390" s="24">
        <v>44566</v>
      </c>
      <c r="B390" s="56" t="s">
        <v>478</v>
      </c>
      <c r="C390" s="34">
        <v>3.8</v>
      </c>
      <c r="D390" s="1" t="s">
        <v>351</v>
      </c>
      <c r="E390" s="58" t="s">
        <v>477</v>
      </c>
      <c r="F390" s="58"/>
      <c r="G390" s="126">
        <v>1</v>
      </c>
      <c r="H390" s="58">
        <v>67.569999999999993</v>
      </c>
      <c r="I390" s="58"/>
      <c r="J390" s="109">
        <f>(Table3[[#This Row],[QTY]]*Table3[[#This Row],[Supplies Cost]])+Table3[[#This Row],[Tax/Fees]]</f>
        <v>67.569999999999993</v>
      </c>
      <c r="K390" s="40"/>
      <c r="L390" s="154" t="s">
        <v>33</v>
      </c>
      <c r="M390" s="40" t="s">
        <v>47</v>
      </c>
      <c r="N390" s="40" t="s">
        <v>479</v>
      </c>
      <c r="O390" s="40"/>
      <c r="P390" s="40" t="s">
        <v>49</v>
      </c>
      <c r="Q390" s="40"/>
      <c r="R390" s="40">
        <v>3.81</v>
      </c>
      <c r="S390" s="40"/>
      <c r="T390" s="40" t="s">
        <v>354</v>
      </c>
      <c r="U390" s="40" t="str">
        <f>LEFT(Table3[[#This Row],[Stage]],FIND(".",Table3[[#This Row],[Stage]],1)-1)</f>
        <v>3</v>
      </c>
      <c r="V390" s="31" t="str">
        <f>VLOOKUP(ABS(Table3[[#This Row],[Type]]),[1]!Table9[#All],2)</f>
        <v>Masonary</v>
      </c>
    </row>
    <row r="391" spans="1:22" x14ac:dyDescent="0.45">
      <c r="A391" s="24">
        <v>44566</v>
      </c>
      <c r="B391" s="56" t="s">
        <v>480</v>
      </c>
      <c r="C391" s="57">
        <v>3.8</v>
      </c>
      <c r="D391" s="40" t="s">
        <v>351</v>
      </c>
      <c r="E391" s="58" t="s">
        <v>477</v>
      </c>
      <c r="F391" s="58"/>
      <c r="G391" s="126">
        <v>1</v>
      </c>
      <c r="H391" s="58">
        <v>31.47</v>
      </c>
      <c r="I391" s="58"/>
      <c r="J391" s="109">
        <f>(Table3[[#This Row],[QTY]]*Table3[[#This Row],[Supplies Cost]])+Table3[[#This Row],[Tax/Fees]]</f>
        <v>31.47</v>
      </c>
      <c r="K391" s="40"/>
      <c r="L391" s="154" t="s">
        <v>33</v>
      </c>
      <c r="M391" s="40" t="s">
        <v>47</v>
      </c>
      <c r="N391" s="40" t="s">
        <v>479</v>
      </c>
      <c r="O391" s="40"/>
      <c r="P391" s="40" t="s">
        <v>49</v>
      </c>
      <c r="Q391" s="40"/>
      <c r="R391" s="40">
        <v>3.8149999999999999</v>
      </c>
      <c r="S391" s="40"/>
      <c r="T391" s="40" t="s">
        <v>354</v>
      </c>
      <c r="U391" s="40" t="str">
        <f>LEFT(Table3[[#This Row],[Stage]],FIND(".",Table3[[#This Row],[Stage]],1)-1)</f>
        <v>3</v>
      </c>
      <c r="V391" s="31" t="str">
        <f>VLOOKUP(ABS(Table3[[#This Row],[Type]]),[1]!Table9[#All],2)</f>
        <v>Masonary</v>
      </c>
    </row>
    <row r="392" spans="1:22" x14ac:dyDescent="0.45">
      <c r="A392" s="24">
        <v>44567</v>
      </c>
      <c r="B392" s="56" t="s">
        <v>481</v>
      </c>
      <c r="C392" s="34">
        <v>7.8</v>
      </c>
      <c r="D392" s="31" t="s">
        <v>399</v>
      </c>
      <c r="E392" s="58" t="s">
        <v>477</v>
      </c>
      <c r="F392" s="58"/>
      <c r="G392" s="126">
        <v>1</v>
      </c>
      <c r="H392" s="58">
        <v>231.45</v>
      </c>
      <c r="I392" s="58"/>
      <c r="J392" s="109">
        <f>(Table3[[#This Row],[QTY]]*Table3[[#This Row],[Supplies Cost]])+Table3[[#This Row],[Tax/Fees]]</f>
        <v>231.45</v>
      </c>
      <c r="K392" s="40"/>
      <c r="L392" s="154" t="s">
        <v>33</v>
      </c>
      <c r="M392" s="40" t="s">
        <v>47</v>
      </c>
      <c r="N392" s="40" t="s">
        <v>479</v>
      </c>
      <c r="O392" s="40"/>
      <c r="P392" s="40" t="s">
        <v>49</v>
      </c>
      <c r="Q392" s="40"/>
      <c r="R392" s="40">
        <v>7.81</v>
      </c>
      <c r="S392" s="40"/>
      <c r="T392" s="40" t="s">
        <v>365</v>
      </c>
      <c r="U392" s="40" t="str">
        <f>LEFT(Table3[[#This Row],[Stage]],FIND(".",Table3[[#This Row],[Stage]],1)-1)</f>
        <v>7</v>
      </c>
      <c r="V392" s="31" t="str">
        <f>VLOOKUP(ABS(Table3[[#This Row],[Type]]),[1]!Table9[#All],2)</f>
        <v>Carpentry</v>
      </c>
    </row>
    <row r="393" spans="1:22" x14ac:dyDescent="0.45">
      <c r="A393" s="24">
        <v>44568</v>
      </c>
      <c r="B393" s="56" t="s">
        <v>482</v>
      </c>
      <c r="C393" s="57">
        <v>7.8</v>
      </c>
      <c r="D393" s="1" t="s">
        <v>399</v>
      </c>
      <c r="E393" s="58" t="s">
        <v>483</v>
      </c>
      <c r="F393" s="58"/>
      <c r="G393" s="126">
        <v>1</v>
      </c>
      <c r="H393" s="58">
        <v>134.51</v>
      </c>
      <c r="I393" s="58"/>
      <c r="J393" s="109">
        <f>(Table3[[#This Row],[QTY]]*Table3[[#This Row],[Supplies Cost]])+Table3[[#This Row],[Tax/Fees]]</f>
        <v>134.51</v>
      </c>
      <c r="K393" s="40"/>
      <c r="L393" s="154" t="s">
        <v>33</v>
      </c>
      <c r="M393" s="40" t="s">
        <v>47</v>
      </c>
      <c r="N393" s="40" t="s">
        <v>479</v>
      </c>
      <c r="O393" s="40"/>
      <c r="P393" s="40" t="s">
        <v>49</v>
      </c>
      <c r="Q393" s="40"/>
      <c r="R393" s="40">
        <v>7.8150000000000004</v>
      </c>
      <c r="S393" s="40"/>
      <c r="T393" s="40" t="s">
        <v>365</v>
      </c>
      <c r="U393" s="40" t="str">
        <f>LEFT(Table3[[#This Row],[Stage]],FIND(".",Table3[[#This Row],[Stage]],1)-1)</f>
        <v>7</v>
      </c>
      <c r="V393" s="31" t="str">
        <f>VLOOKUP(ABS(Table3[[#This Row],[Type]]),[1]!Table9[#All],2)</f>
        <v>Carpentry</v>
      </c>
    </row>
    <row r="394" spans="1:22" x14ac:dyDescent="0.45">
      <c r="A394" s="24">
        <v>44569</v>
      </c>
      <c r="B394" s="56" t="s">
        <v>484</v>
      </c>
      <c r="C394" s="57">
        <v>7.8</v>
      </c>
      <c r="D394" s="1" t="s">
        <v>399</v>
      </c>
      <c r="E394" s="58" t="s">
        <v>477</v>
      </c>
      <c r="F394" s="58"/>
      <c r="G394" s="126">
        <v>1</v>
      </c>
      <c r="H394" s="58">
        <v>600.1</v>
      </c>
      <c r="I394" s="58"/>
      <c r="J394" s="109">
        <f>(Table3[[#This Row],[QTY]]*Table3[[#This Row],[Supplies Cost]])+Table3[[#This Row],[Tax/Fees]]</f>
        <v>600.1</v>
      </c>
      <c r="K394" s="40"/>
      <c r="L394" s="154" t="s">
        <v>33</v>
      </c>
      <c r="M394" s="40" t="s">
        <v>47</v>
      </c>
      <c r="N394" s="40" t="s">
        <v>479</v>
      </c>
      <c r="O394" s="40"/>
      <c r="P394" s="40" t="s">
        <v>49</v>
      </c>
      <c r="Q394" s="40"/>
      <c r="R394" s="40">
        <v>7.81</v>
      </c>
      <c r="S394" s="40"/>
      <c r="T394" s="40" t="s">
        <v>365</v>
      </c>
      <c r="U394" s="40" t="str">
        <f>LEFT(Table3[[#This Row],[Stage]],FIND(".",Table3[[#This Row],[Stage]],1)-1)</f>
        <v>7</v>
      </c>
      <c r="V394" s="31" t="str">
        <f>VLOOKUP(ABS(Table3[[#This Row],[Type]]),[1]!Table9[#All],2)</f>
        <v>Carpentry</v>
      </c>
    </row>
    <row r="395" spans="1:22" x14ac:dyDescent="0.45">
      <c r="A395" s="24">
        <v>44573</v>
      </c>
      <c r="B395" s="56" t="s">
        <v>339</v>
      </c>
      <c r="C395" s="57">
        <v>7.36</v>
      </c>
      <c r="D395" s="152" t="s">
        <v>279</v>
      </c>
      <c r="E395" s="56" t="s">
        <v>71</v>
      </c>
      <c r="F395" s="58"/>
      <c r="G395" s="126">
        <v>1</v>
      </c>
      <c r="H395" s="58">
        <v>695.01</v>
      </c>
      <c r="I395" s="58"/>
      <c r="J395" s="109">
        <f>(Table3[[#This Row],[QTY]]*Table3[[#This Row],[Supplies Cost]])+Table3[[#This Row],[Tax/Fees]]</f>
        <v>695.01</v>
      </c>
      <c r="K395" s="40"/>
      <c r="L395" s="154" t="s">
        <v>33</v>
      </c>
      <c r="M395" s="40" t="s">
        <v>47</v>
      </c>
      <c r="N395" s="40"/>
      <c r="O395" s="40"/>
      <c r="P395" s="40"/>
      <c r="Q395" s="40"/>
      <c r="R395" s="40">
        <v>7.3615000000000004</v>
      </c>
      <c r="S395" s="40"/>
      <c r="T395" s="40" t="s">
        <v>160</v>
      </c>
      <c r="U395" s="40" t="str">
        <f>LEFT(Table3[[#This Row],[Stage]],FIND(".",Table3[[#This Row],[Stage]],1)-1)</f>
        <v>7</v>
      </c>
      <c r="V395" s="31" t="str">
        <f>VLOOKUP(ABS(Table3[[#This Row],[Type]]),[1]!Table9[#All],2)</f>
        <v>Carpentry</v>
      </c>
    </row>
    <row r="396" spans="1:22" x14ac:dyDescent="0.45">
      <c r="A396" s="24">
        <v>44573</v>
      </c>
      <c r="B396" s="56" t="s">
        <v>485</v>
      </c>
      <c r="C396" s="57">
        <v>7.6</v>
      </c>
      <c r="D396" s="1" t="s">
        <v>351</v>
      </c>
      <c r="E396" s="56" t="s">
        <v>367</v>
      </c>
      <c r="F396" s="58"/>
      <c r="G396" s="126">
        <v>1</v>
      </c>
      <c r="H396" s="58">
        <v>4042.5</v>
      </c>
      <c r="I396" s="58"/>
      <c r="J396" s="135">
        <f>(Table3[[#This Row],[QTY]]*Table3[[#This Row],[Supplies Cost]])+Table3[[#This Row],[Tax/Fees]]</f>
        <v>4042.5</v>
      </c>
      <c r="K396" s="40"/>
      <c r="L396" s="154" t="s">
        <v>33</v>
      </c>
      <c r="M396" s="40" t="s">
        <v>47</v>
      </c>
      <c r="N396" s="40"/>
      <c r="O396" s="40"/>
      <c r="P396" s="40"/>
      <c r="Q396" s="40"/>
      <c r="R396" s="40">
        <v>7.61</v>
      </c>
      <c r="S396" s="40"/>
      <c r="T396" s="40" t="s">
        <v>365</v>
      </c>
      <c r="U396" s="40" t="str">
        <f>LEFT(Table3[[#This Row],[Stage]],FIND(".",Table3[[#This Row],[Stage]],1)-1)</f>
        <v>7</v>
      </c>
      <c r="V396" s="31" t="str">
        <f>VLOOKUP(ABS(Table3[[#This Row],[Type]]),[1]!Table9[#All],2)</f>
        <v>Carpentry</v>
      </c>
    </row>
    <row r="397" spans="1:22" x14ac:dyDescent="0.45">
      <c r="A397" s="24">
        <v>44573</v>
      </c>
      <c r="B397" s="56" t="s">
        <v>486</v>
      </c>
      <c r="C397" s="57">
        <v>26.3</v>
      </c>
      <c r="D397" s="40" t="s">
        <v>399</v>
      </c>
      <c r="E397" s="56" t="s">
        <v>219</v>
      </c>
      <c r="F397" s="58"/>
      <c r="G397" s="126">
        <v>1</v>
      </c>
      <c r="H397" s="58">
        <v>151.58000000000001</v>
      </c>
      <c r="I397" s="58"/>
      <c r="J397" s="109">
        <f>(Table3[[#This Row],[QTY]]*Table3[[#This Row],[Supplies Cost]])+Table3[[#This Row],[Tax/Fees]]</f>
        <v>151.58000000000001</v>
      </c>
      <c r="K397" s="40"/>
      <c r="L397" s="154" t="s">
        <v>33</v>
      </c>
      <c r="M397" s="40" t="s">
        <v>47</v>
      </c>
      <c r="N397" s="40" t="s">
        <v>479</v>
      </c>
      <c r="O397" s="40"/>
      <c r="P397" s="40" t="s">
        <v>49</v>
      </c>
      <c r="Q397" s="40"/>
      <c r="R397" s="40">
        <v>26.31</v>
      </c>
      <c r="S397" s="40"/>
      <c r="T397" s="40" t="s">
        <v>433</v>
      </c>
      <c r="U397" s="40" t="str">
        <f>LEFT(Table3[[#This Row],[Stage]],FIND(".",Table3[[#This Row],[Stage]],1)-1)</f>
        <v>26</v>
      </c>
      <c r="V397" s="31" t="str">
        <f>VLOOKUP(ABS(Table3[[#This Row],[Type]]),[1]!Table9[#All],2)</f>
        <v>Painting</v>
      </c>
    </row>
    <row r="398" spans="1:22" x14ac:dyDescent="0.45">
      <c r="A398" s="24">
        <v>44573</v>
      </c>
      <c r="B398" s="56" t="s">
        <v>487</v>
      </c>
      <c r="C398" s="57">
        <v>3.8</v>
      </c>
      <c r="D398" s="152" t="s">
        <v>425</v>
      </c>
      <c r="E398" s="56" t="s">
        <v>82</v>
      </c>
      <c r="F398" s="58"/>
      <c r="G398" s="126">
        <v>1</v>
      </c>
      <c r="H398" s="58">
        <v>51.7</v>
      </c>
      <c r="I398" s="58"/>
      <c r="J398" s="109">
        <f>(Table3[[#This Row],[QTY]]*Table3[[#This Row],[Supplies Cost]])+Table3[[#This Row],[Tax/Fees]]</f>
        <v>51.7</v>
      </c>
      <c r="K398" s="40"/>
      <c r="L398" s="154" t="s">
        <v>33</v>
      </c>
      <c r="M398" s="40" t="s">
        <v>47</v>
      </c>
      <c r="N398" s="40" t="s">
        <v>479</v>
      </c>
      <c r="O398" s="40"/>
      <c r="P398" s="40" t="s">
        <v>49</v>
      </c>
      <c r="Q398" s="40"/>
      <c r="R398" s="40">
        <v>3.8149999999999999</v>
      </c>
      <c r="S398" s="40"/>
      <c r="T398" s="40" t="s">
        <v>160</v>
      </c>
      <c r="U398" s="40" t="str">
        <f>LEFT(Table3[[#This Row],[Stage]],FIND(".",Table3[[#This Row],[Stage]],1)-1)</f>
        <v>3</v>
      </c>
      <c r="V398" s="31" t="str">
        <f>VLOOKUP(ABS(Table3[[#This Row],[Type]]),[1]!Table9[#All],2)</f>
        <v>Masonary</v>
      </c>
    </row>
    <row r="399" spans="1:22" ht="30.75" x14ac:dyDescent="0.45">
      <c r="A399" s="24">
        <v>44574</v>
      </c>
      <c r="B399" s="56" t="s">
        <v>488</v>
      </c>
      <c r="C399" s="177">
        <v>5.67</v>
      </c>
      <c r="D399" s="90" t="s">
        <v>489</v>
      </c>
      <c r="E399" s="56" t="s">
        <v>490</v>
      </c>
      <c r="F399" s="58"/>
      <c r="G399" s="126">
        <v>1</v>
      </c>
      <c r="H399" s="58">
        <v>237.75</v>
      </c>
      <c r="I399" s="58"/>
      <c r="J399" s="109">
        <f>(Table3[[#This Row],[QTY]]*Table3[[#This Row],[Supplies Cost]])+Table3[[#This Row],[Tax/Fees]]</f>
        <v>237.75</v>
      </c>
      <c r="K399" s="40"/>
      <c r="L399" s="154" t="s">
        <v>33</v>
      </c>
      <c r="M399" s="40" t="s">
        <v>47</v>
      </c>
      <c r="N399" s="40" t="s">
        <v>479</v>
      </c>
      <c r="O399" s="40"/>
      <c r="P399" s="40" t="s">
        <v>49</v>
      </c>
      <c r="Q399" s="40"/>
      <c r="R399" s="40">
        <v>5.6710000000000003</v>
      </c>
      <c r="S399" s="40"/>
      <c r="T399" s="40" t="s">
        <v>56</v>
      </c>
      <c r="U399" s="40" t="str">
        <f>LEFT(Table3[[#This Row],[Stage]],FIND(".",Table3[[#This Row],[Stage]],1)-1)</f>
        <v>5</v>
      </c>
      <c r="V399" s="31" t="str">
        <f>VLOOKUP(ABS(Table3[[#This Row],[Type]]),[1]!Table9[#All],2)</f>
        <v>Earthworks</v>
      </c>
    </row>
    <row r="400" spans="1:22" x14ac:dyDescent="0.45">
      <c r="A400" s="24">
        <v>44575</v>
      </c>
      <c r="B400" s="56" t="s">
        <v>491</v>
      </c>
      <c r="C400" s="57">
        <v>5.67</v>
      </c>
      <c r="D400" s="90" t="s">
        <v>489</v>
      </c>
      <c r="E400" s="56" t="s">
        <v>64</v>
      </c>
      <c r="F400" s="58"/>
      <c r="G400" s="126">
        <v>1</v>
      </c>
      <c r="H400" s="109">
        <v>935</v>
      </c>
      <c r="I400" s="58"/>
      <c r="J400" s="109">
        <f>(Table3[[#This Row],[QTY]]*Table3[[#This Row],[Supplies Cost]])+Table3[[#This Row],[Tax/Fees]]</f>
        <v>935</v>
      </c>
      <c r="K400" s="40"/>
      <c r="L400" s="154" t="s">
        <v>33</v>
      </c>
      <c r="M400" s="40" t="s">
        <v>34</v>
      </c>
      <c r="N400" s="40"/>
      <c r="O400" s="40"/>
      <c r="P400" s="40"/>
      <c r="Q400" s="40"/>
      <c r="R400" s="40">
        <v>5.6710000000000003</v>
      </c>
      <c r="S400" s="40"/>
      <c r="T400" s="40" t="s">
        <v>56</v>
      </c>
      <c r="U400" s="40" t="str">
        <f>LEFT(Table3[[#This Row],[Stage]],FIND(".",Table3[[#This Row],[Stage]],1)-1)</f>
        <v>5</v>
      </c>
      <c r="V400" s="31" t="str">
        <f>VLOOKUP(ABS(Table3[[#This Row],[Type]]),[1]!Table9[#All],2)</f>
        <v>Earthworks</v>
      </c>
    </row>
    <row r="401" spans="1:22" x14ac:dyDescent="0.45">
      <c r="A401" s="24">
        <v>44575</v>
      </c>
      <c r="B401" s="56" t="s">
        <v>202</v>
      </c>
      <c r="C401" s="57">
        <v>8.0399999999999991</v>
      </c>
      <c r="D401" s="90" t="s">
        <v>489</v>
      </c>
      <c r="E401" s="56" t="s">
        <v>104</v>
      </c>
      <c r="F401" s="58"/>
      <c r="G401" s="126">
        <v>1</v>
      </c>
      <c r="H401" s="58">
        <v>21.31</v>
      </c>
      <c r="I401" s="58"/>
      <c r="J401" s="109">
        <f>(Table3[[#This Row],[QTY]]*Table3[[#This Row],[Supplies Cost]])+Table3[[#This Row],[Tax/Fees]]</f>
        <v>21.31</v>
      </c>
      <c r="K401" s="40"/>
      <c r="L401" s="154" t="s">
        <v>33</v>
      </c>
      <c r="M401" s="40" t="s">
        <v>77</v>
      </c>
      <c r="N401" s="40"/>
      <c r="O401" s="40"/>
      <c r="P401" s="40"/>
      <c r="Q401" s="40"/>
      <c r="R401" s="40">
        <v>8.0429999999999993</v>
      </c>
      <c r="S401" s="40"/>
      <c r="T401" s="40" t="s">
        <v>60</v>
      </c>
      <c r="U401" s="40" t="str">
        <f>LEFT(Table3[[#This Row],[Stage]],FIND(".",Table3[[#This Row],[Stage]],1)-1)</f>
        <v>8</v>
      </c>
      <c r="V401" s="31" t="str">
        <f>VLOOKUP(ABS(Table3[[#This Row],[Type]]),[1]!Table9[#All],2)</f>
        <v>Administrative</v>
      </c>
    </row>
    <row r="402" spans="1:22" x14ac:dyDescent="0.45">
      <c r="A402" s="24">
        <v>44575</v>
      </c>
      <c r="B402" s="56" t="s">
        <v>492</v>
      </c>
      <c r="C402" s="57">
        <v>3.1</v>
      </c>
      <c r="D402" s="152" t="s">
        <v>489</v>
      </c>
      <c r="E402" s="56" t="s">
        <v>239</v>
      </c>
      <c r="F402" s="58"/>
      <c r="G402" s="126">
        <v>1</v>
      </c>
      <c r="H402" s="58">
        <v>700</v>
      </c>
      <c r="I402" s="58"/>
      <c r="J402" s="109">
        <f>(Table3[[#This Row],[QTY]]*Table3[[#This Row],[Supplies Cost]])+Table3[[#This Row],[Tax/Fees]]</f>
        <v>700</v>
      </c>
      <c r="K402" s="40"/>
      <c r="L402" s="154" t="s">
        <v>33</v>
      </c>
      <c r="M402" s="40" t="s">
        <v>77</v>
      </c>
      <c r="N402" s="40"/>
      <c r="O402" s="40"/>
      <c r="P402" s="40"/>
      <c r="Q402" s="40"/>
      <c r="R402" s="40">
        <v>3.1349999999999998</v>
      </c>
      <c r="S402" s="40"/>
      <c r="T402" s="40" t="s">
        <v>160</v>
      </c>
      <c r="U402" s="40" t="str">
        <f>LEFT(Table3[[#This Row],[Stage]],FIND(".",Table3[[#This Row],[Stage]],1)-1)</f>
        <v>3</v>
      </c>
      <c r="V402" s="31" t="str">
        <f>VLOOKUP(ABS(Table3[[#This Row],[Type]]),[1]!Table9[#All],2)</f>
        <v>Masonary</v>
      </c>
    </row>
    <row r="403" spans="1:22" x14ac:dyDescent="0.45">
      <c r="A403" s="24">
        <v>44575</v>
      </c>
      <c r="B403" s="56" t="s">
        <v>326</v>
      </c>
      <c r="C403" s="57">
        <v>3.8</v>
      </c>
      <c r="D403" s="31" t="s">
        <v>425</v>
      </c>
      <c r="E403" s="56" t="s">
        <v>108</v>
      </c>
      <c r="F403" s="58"/>
      <c r="G403" s="126">
        <v>1</v>
      </c>
      <c r="H403" s="58">
        <v>911.8</v>
      </c>
      <c r="I403" s="58"/>
      <c r="J403" s="109">
        <f>(Table3[[#This Row],[QTY]]*Table3[[#This Row],[Supplies Cost]])+Table3[[#This Row],[Tax/Fees]]</f>
        <v>911.8</v>
      </c>
      <c r="K403" s="40"/>
      <c r="L403" s="154" t="s">
        <v>33</v>
      </c>
      <c r="M403" s="40" t="s">
        <v>47</v>
      </c>
      <c r="N403" s="40"/>
      <c r="O403" s="40"/>
      <c r="P403" s="40"/>
      <c r="Q403" s="40"/>
      <c r="R403" s="40">
        <v>3.8250000000000002</v>
      </c>
      <c r="S403" s="40"/>
      <c r="T403" s="40" t="s">
        <v>160</v>
      </c>
      <c r="U403" s="40" t="str">
        <f>LEFT(Table3[[#This Row],[Stage]],FIND(".",Table3[[#This Row],[Stage]],1)-1)</f>
        <v>3</v>
      </c>
      <c r="V403" s="31" t="str">
        <f>VLOOKUP(ABS(Table3[[#This Row],[Type]]),[1]!Table9[#All],2)</f>
        <v>Masonary</v>
      </c>
    </row>
    <row r="404" spans="1:22" x14ac:dyDescent="0.45">
      <c r="A404" s="24">
        <v>44575</v>
      </c>
      <c r="B404" s="56" t="s">
        <v>493</v>
      </c>
      <c r="C404" s="57">
        <v>7.36</v>
      </c>
      <c r="D404" s="31" t="s">
        <v>439</v>
      </c>
      <c r="E404" s="56" t="s">
        <v>116</v>
      </c>
      <c r="F404" s="58"/>
      <c r="G404" s="126">
        <v>1</v>
      </c>
      <c r="H404" s="58">
        <v>1069.25</v>
      </c>
      <c r="I404" s="58"/>
      <c r="J404" s="109">
        <f>(Table3[[#This Row],[QTY]]*Table3[[#This Row],[Supplies Cost]])+Table3[[#This Row],[Tax/Fees]]</f>
        <v>1069.25</v>
      </c>
      <c r="K404" s="40"/>
      <c r="L404" s="154" t="s">
        <v>33</v>
      </c>
      <c r="M404" s="40" t="s">
        <v>77</v>
      </c>
      <c r="N404" s="40"/>
      <c r="O404" s="40"/>
      <c r="P404" s="40"/>
      <c r="Q404" s="40"/>
      <c r="R404" s="40">
        <v>7.3620000000000001</v>
      </c>
      <c r="S404" s="40"/>
      <c r="T404" s="40" t="s">
        <v>433</v>
      </c>
      <c r="U404" s="40" t="str">
        <f>LEFT(Table3[[#This Row],[Stage]],FIND(".",Table3[[#This Row],[Stage]],1)-1)</f>
        <v>7</v>
      </c>
      <c r="V404" s="31" t="str">
        <f>VLOOKUP(ABS(Table3[[#This Row],[Type]]),[1]!Table9[#All],2)</f>
        <v>Carpentry</v>
      </c>
    </row>
    <row r="405" spans="1:22" x14ac:dyDescent="0.45">
      <c r="A405" s="24">
        <v>44576</v>
      </c>
      <c r="B405" s="56" t="s">
        <v>494</v>
      </c>
      <c r="C405" s="57">
        <v>26.5</v>
      </c>
      <c r="D405" s="1" t="s">
        <v>439</v>
      </c>
      <c r="E405" s="56" t="s">
        <v>470</v>
      </c>
      <c r="F405" s="58"/>
      <c r="G405" s="126">
        <v>1</v>
      </c>
      <c r="H405" s="58">
        <v>3000</v>
      </c>
      <c r="I405" s="58"/>
      <c r="J405" s="109">
        <f>(Table3[[#This Row],[QTY]]*Table3[[#This Row],[Supplies Cost]])+Table3[[#This Row],[Tax/Fees]]</f>
        <v>3000</v>
      </c>
      <c r="K405" s="40"/>
      <c r="L405" s="154" t="s">
        <v>92</v>
      </c>
      <c r="M405" s="40" t="s">
        <v>34</v>
      </c>
      <c r="N405" s="40"/>
      <c r="O405" s="40" t="s">
        <v>495</v>
      </c>
      <c r="P405" s="40"/>
      <c r="Q405" s="40"/>
      <c r="R405" s="40"/>
      <c r="S405" s="40"/>
      <c r="T405" s="40" t="s">
        <v>433</v>
      </c>
      <c r="U405" s="40" t="str">
        <f>LEFT(Table3[[#This Row],[Stage]],FIND(".",Table3[[#This Row],[Stage]],1)-1)</f>
        <v>26</v>
      </c>
      <c r="V405" s="31" t="str">
        <f>VLOOKUP(ABS(Table3[[#This Row],[Type]]),[1]!Table9[#All],2)</f>
        <v>Painting</v>
      </c>
    </row>
    <row r="406" spans="1:22" x14ac:dyDescent="0.45">
      <c r="A406" s="24">
        <v>44576</v>
      </c>
      <c r="B406" s="56" t="s">
        <v>496</v>
      </c>
      <c r="C406" s="57">
        <v>26.5</v>
      </c>
      <c r="D406" s="1" t="s">
        <v>439</v>
      </c>
      <c r="E406" t="s">
        <v>470</v>
      </c>
      <c r="F406" s="58"/>
      <c r="G406" s="126">
        <v>1</v>
      </c>
      <c r="H406" s="58">
        <v>81.59</v>
      </c>
      <c r="I406" s="58"/>
      <c r="J406" s="109">
        <f>(Table3[[#This Row],[QTY]]*Table3[[#This Row],[Supplies Cost]])+Table3[[#This Row],[Tax/Fees]]</f>
        <v>81.59</v>
      </c>
      <c r="K406" s="164">
        <v>3081.59</v>
      </c>
      <c r="L406" s="154" t="s">
        <v>33</v>
      </c>
      <c r="M406" s="40" t="s">
        <v>47</v>
      </c>
      <c r="N406" s="40"/>
      <c r="O406" s="40" t="s">
        <v>495</v>
      </c>
      <c r="P406" s="40"/>
      <c r="Q406" s="40"/>
      <c r="R406" s="40">
        <v>26.545000000000002</v>
      </c>
      <c r="S406" s="40"/>
      <c r="T406" s="40" t="s">
        <v>433</v>
      </c>
      <c r="U406" s="40" t="str">
        <f>LEFT(Table3[[#This Row],[Stage]],FIND(".",Table3[[#This Row],[Stage]],1)-1)</f>
        <v>26</v>
      </c>
      <c r="V406" s="31" t="str">
        <f>VLOOKUP(ABS(Table3[[#This Row],[Type]]),[1]!Table9[#All],2)</f>
        <v>Painting</v>
      </c>
    </row>
    <row r="407" spans="1:22" x14ac:dyDescent="0.45">
      <c r="A407" s="24">
        <v>44578</v>
      </c>
      <c r="B407" s="56" t="s">
        <v>497</v>
      </c>
      <c r="C407" s="57">
        <v>7.8</v>
      </c>
      <c r="D407" s="1" t="s">
        <v>399</v>
      </c>
      <c r="E407" t="s">
        <v>71</v>
      </c>
      <c r="F407" s="58"/>
      <c r="G407" s="126">
        <v>3</v>
      </c>
      <c r="H407" s="58">
        <v>35.19</v>
      </c>
      <c r="I407" s="58">
        <v>18.47</v>
      </c>
      <c r="J407" s="109">
        <f>(Table3[[#This Row],[QTY]]*Table3[[#This Row],[Supplies Cost]])+Table3[[#This Row],[Tax/Fees]]</f>
        <v>124.03999999999999</v>
      </c>
      <c r="K407" s="40"/>
      <c r="L407" s="154" t="s">
        <v>33</v>
      </c>
      <c r="M407" s="40" t="s">
        <v>47</v>
      </c>
      <c r="N407" s="40" t="s">
        <v>479</v>
      </c>
      <c r="O407" s="40"/>
      <c r="P407" s="40" t="s">
        <v>49</v>
      </c>
      <c r="Q407" s="40"/>
      <c r="R407" s="40">
        <v>7.81</v>
      </c>
      <c r="S407" s="40"/>
      <c r="T407" s="40" t="s">
        <v>365</v>
      </c>
      <c r="U407" s="40" t="str">
        <f>LEFT(Table3[[#This Row],[Stage]],FIND(".",Table3[[#This Row],[Stage]],1)-1)</f>
        <v>7</v>
      </c>
      <c r="V407" s="31" t="str">
        <f>VLOOKUP(ABS(Table3[[#This Row],[Type]]),[1]!Table9[#All],2)</f>
        <v>Carpentry</v>
      </c>
    </row>
    <row r="408" spans="1:22" x14ac:dyDescent="0.45">
      <c r="A408" s="24">
        <v>44581</v>
      </c>
      <c r="B408" s="56" t="s">
        <v>498</v>
      </c>
      <c r="C408" s="57">
        <v>7.6</v>
      </c>
      <c r="D408" s="1" t="s">
        <v>351</v>
      </c>
      <c r="E408" s="56" t="s">
        <v>367</v>
      </c>
      <c r="F408" s="58"/>
      <c r="G408" s="126">
        <v>4</v>
      </c>
      <c r="H408" s="58">
        <v>75</v>
      </c>
      <c r="I408" s="58"/>
      <c r="J408" s="109">
        <f>(Table3[[#This Row],[QTY]]*Table3[[#This Row],[Supplies Cost]])+Table3[[#This Row],[Tax/Fees]]</f>
        <v>300</v>
      </c>
      <c r="K408" s="40"/>
      <c r="L408" s="154" t="s">
        <v>33</v>
      </c>
      <c r="M408" s="40" t="s">
        <v>47</v>
      </c>
      <c r="N408" s="40"/>
      <c r="O408" s="40"/>
      <c r="P408" s="40"/>
      <c r="Q408" s="40"/>
      <c r="R408" s="40">
        <v>7.625</v>
      </c>
      <c r="S408" s="40"/>
      <c r="T408" s="40" t="s">
        <v>365</v>
      </c>
      <c r="U408" s="40" t="str">
        <f>LEFT(Table3[[#This Row],[Stage]],FIND(".",Table3[[#This Row],[Stage]],1)-1)</f>
        <v>7</v>
      </c>
      <c r="V408" s="31" t="str">
        <f>VLOOKUP(ABS(Table3[[#This Row],[Type]]),[1]!Table9[#All],2)</f>
        <v>Carpentry</v>
      </c>
    </row>
    <row r="409" spans="1:22" x14ac:dyDescent="0.45">
      <c r="A409" s="24">
        <v>44581</v>
      </c>
      <c r="B409" s="56" t="s">
        <v>499</v>
      </c>
      <c r="C409" s="57">
        <v>5.67</v>
      </c>
      <c r="D409" s="90" t="s">
        <v>489</v>
      </c>
      <c r="E409" s="56" t="s">
        <v>64</v>
      </c>
      <c r="F409" s="58"/>
      <c r="G409" s="126">
        <v>1</v>
      </c>
      <c r="H409" s="58">
        <v>1145</v>
      </c>
      <c r="I409" s="58"/>
      <c r="J409" s="109">
        <f>(Table3[[#This Row],[QTY]]*Table3[[#This Row],[Supplies Cost]])+Table3[[#This Row],[Tax/Fees]]</f>
        <v>1145</v>
      </c>
      <c r="K409" s="40"/>
      <c r="L409" s="154" t="s">
        <v>33</v>
      </c>
      <c r="M409" s="40" t="s">
        <v>47</v>
      </c>
      <c r="N409" s="40"/>
      <c r="O409" s="40"/>
      <c r="P409" s="40"/>
      <c r="Q409" s="40"/>
      <c r="R409" s="40">
        <v>5.6710000000000003</v>
      </c>
      <c r="S409" s="40"/>
      <c r="T409" s="40" t="s">
        <v>160</v>
      </c>
      <c r="U409" s="40" t="str">
        <f>LEFT(Table3[[#This Row],[Stage]],FIND(".",Table3[[#This Row],[Stage]],1)-1)</f>
        <v>5</v>
      </c>
      <c r="V409" s="31" t="str">
        <f>VLOOKUP(ABS(Table3[[#This Row],[Type]]),[1]!Table9[#All],2)</f>
        <v>Earthworks</v>
      </c>
    </row>
    <row r="410" spans="1:22" x14ac:dyDescent="0.45">
      <c r="A410" s="24">
        <v>44581</v>
      </c>
      <c r="B410" t="s">
        <v>500</v>
      </c>
      <c r="C410" s="57">
        <v>5.67</v>
      </c>
      <c r="D410" s="90" t="s">
        <v>489</v>
      </c>
      <c r="E410" s="56" t="s">
        <v>501</v>
      </c>
      <c r="F410" s="58"/>
      <c r="G410" s="126">
        <v>1</v>
      </c>
      <c r="H410" s="58">
        <v>146.9</v>
      </c>
      <c r="I410" s="58"/>
      <c r="J410" s="109">
        <f>(Table3[[#This Row],[QTY]]*Table3[[#This Row],[Supplies Cost]])+Table3[[#This Row],[Tax/Fees]]</f>
        <v>146.9</v>
      </c>
      <c r="K410" s="40"/>
      <c r="L410" s="154" t="s">
        <v>33</v>
      </c>
      <c r="M410" s="40" t="s">
        <v>77</v>
      </c>
      <c r="N410" s="40"/>
      <c r="O410" s="40"/>
      <c r="P410" s="40"/>
      <c r="Q410" s="40"/>
      <c r="R410" s="40">
        <v>5.6715</v>
      </c>
      <c r="S410" s="40"/>
      <c r="T410" s="31" t="s">
        <v>160</v>
      </c>
      <c r="U410" s="40" t="str">
        <f>LEFT(Table3[[#This Row],[Stage]],FIND(".",Table3[[#This Row],[Stage]],1)-1)</f>
        <v>5</v>
      </c>
      <c r="V410" s="31" t="str">
        <f>VLOOKUP(ABS(Table3[[#This Row],[Type]]),[1]!Table9[#All],2)</f>
        <v>Earthworks</v>
      </c>
    </row>
    <row r="411" spans="1:22" x14ac:dyDescent="0.45">
      <c r="A411" s="24">
        <v>44581</v>
      </c>
      <c r="B411" t="s">
        <v>502</v>
      </c>
      <c r="C411" s="57">
        <v>5.67</v>
      </c>
      <c r="D411" s="90" t="s">
        <v>489</v>
      </c>
      <c r="E411" s="56" t="s">
        <v>76</v>
      </c>
      <c r="F411" s="58"/>
      <c r="G411" s="126">
        <v>1</v>
      </c>
      <c r="H411" s="58">
        <v>510</v>
      </c>
      <c r="I411" s="58"/>
      <c r="J411" s="109">
        <f>(Table3[[#This Row],[QTY]]*Table3[[#This Row],[Supplies Cost]])+Table3[[#This Row],[Tax/Fees]]</f>
        <v>510</v>
      </c>
      <c r="K411" s="40"/>
      <c r="L411" s="154" t="s">
        <v>33</v>
      </c>
      <c r="M411" s="40" t="s">
        <v>77</v>
      </c>
      <c r="N411" s="40"/>
      <c r="O411" s="1"/>
      <c r="P411" s="40"/>
      <c r="Q411" s="40"/>
      <c r="R411" s="40">
        <v>5.6719999999999997</v>
      </c>
      <c r="S411" s="40"/>
      <c r="T411" s="40" t="s">
        <v>160</v>
      </c>
      <c r="U411" s="40" t="str">
        <f>LEFT(Table3[[#This Row],[Stage]],FIND(".",Table3[[#This Row],[Stage]],1)-1)</f>
        <v>5</v>
      </c>
      <c r="V411" s="31" t="str">
        <f>VLOOKUP(ABS(Table3[[#This Row],[Type]]),[1]!Table9[#All],2)</f>
        <v>Earthworks</v>
      </c>
    </row>
    <row r="412" spans="1:22" x14ac:dyDescent="0.45">
      <c r="A412" s="24">
        <v>44581</v>
      </c>
      <c r="B412" t="s">
        <v>503</v>
      </c>
      <c r="C412" s="57">
        <v>5.67</v>
      </c>
      <c r="D412" s="90" t="s">
        <v>118</v>
      </c>
      <c r="E412" s="56" t="s">
        <v>64</v>
      </c>
      <c r="F412" s="58"/>
      <c r="G412" s="126">
        <v>1</v>
      </c>
      <c r="H412" s="58">
        <v>1145</v>
      </c>
      <c r="I412" s="58"/>
      <c r="J412" s="109">
        <f>(Table3[[#This Row],[QTY]]*Table3[[#This Row],[Supplies Cost]])+Table3[[#This Row],[Tax/Fees]]</f>
        <v>1145</v>
      </c>
      <c r="K412" s="40"/>
      <c r="L412" s="154" t="s">
        <v>92</v>
      </c>
      <c r="M412" s="40" t="s">
        <v>47</v>
      </c>
      <c r="N412" s="40"/>
      <c r="O412" s="1" t="s">
        <v>504</v>
      </c>
      <c r="P412" s="40"/>
      <c r="Q412" s="40"/>
      <c r="R412" s="40"/>
      <c r="S412" s="40"/>
      <c r="T412" s="40" t="s">
        <v>160</v>
      </c>
      <c r="U412" s="40" t="str">
        <f>LEFT(Table3[[#This Row],[Stage]],FIND(".",Table3[[#This Row],[Stage]],1)-1)</f>
        <v>5</v>
      </c>
      <c r="V412" s="31" t="str">
        <f>VLOOKUP(ABS(Table3[[#This Row],[Type]]),[1]!Table9[#All],2)</f>
        <v>Earthworks</v>
      </c>
    </row>
    <row r="413" spans="1:22" x14ac:dyDescent="0.45">
      <c r="A413" s="24">
        <v>44586</v>
      </c>
      <c r="B413" t="s">
        <v>505</v>
      </c>
      <c r="C413" s="57">
        <v>5.67</v>
      </c>
      <c r="D413" s="90" t="s">
        <v>489</v>
      </c>
      <c r="E413" s="56" t="s">
        <v>506</v>
      </c>
      <c r="F413" s="58"/>
      <c r="G413" s="126">
        <v>1</v>
      </c>
      <c r="H413" s="58">
        <v>124.55</v>
      </c>
      <c r="I413" s="28"/>
      <c r="J413" s="109">
        <f>(Table3[[#This Row],[QTY]]*Table3[[#This Row],[Supplies Cost]])+Table3[[#This Row],[Tax/Fees]]</f>
        <v>124.55</v>
      </c>
      <c r="K413" s="40"/>
      <c r="L413" s="154" t="s">
        <v>33</v>
      </c>
      <c r="M413" s="40" t="s">
        <v>77</v>
      </c>
      <c r="N413" s="31"/>
      <c r="O413" s="1"/>
      <c r="P413" s="31"/>
      <c r="Q413" s="31"/>
      <c r="R413" s="31">
        <v>5.6710000000000003</v>
      </c>
      <c r="S413" s="31"/>
      <c r="T413" s="40" t="s">
        <v>160</v>
      </c>
      <c r="U413" s="31" t="str">
        <f>LEFT(Table3[[#This Row],[Stage]],FIND(".",Table3[[#This Row],[Stage]],1)-1)</f>
        <v>5</v>
      </c>
      <c r="V413" s="31" t="str">
        <f>VLOOKUP(ABS(Table3[[#This Row],[Type]]),[1]!Table9[#All],2)</f>
        <v>Earthworks</v>
      </c>
    </row>
    <row r="414" spans="1:22" x14ac:dyDescent="0.45">
      <c r="A414" s="24">
        <v>44586</v>
      </c>
      <c r="B414" t="s">
        <v>507</v>
      </c>
      <c r="C414" s="57">
        <v>7.9</v>
      </c>
      <c r="D414" s="1" t="s">
        <v>399</v>
      </c>
      <c r="E414" s="56" t="s">
        <v>116</v>
      </c>
      <c r="F414" s="58"/>
      <c r="G414" s="126">
        <v>1</v>
      </c>
      <c r="H414" s="58">
        <v>376</v>
      </c>
      <c r="I414" s="58"/>
      <c r="J414" s="109">
        <f>(Table3[[#This Row],[QTY]]*Table3[[#This Row],[Supplies Cost]])+Table3[[#This Row],[Tax/Fees]]</f>
        <v>376</v>
      </c>
      <c r="K414" s="40"/>
      <c r="L414" s="154" t="s">
        <v>33</v>
      </c>
      <c r="M414" s="40" t="s">
        <v>47</v>
      </c>
      <c r="N414" s="40" t="s">
        <v>479</v>
      </c>
      <c r="O414" s="1">
        <v>207261962</v>
      </c>
      <c r="P414" s="40" t="s">
        <v>49</v>
      </c>
      <c r="Q414" s="40"/>
      <c r="R414" s="40">
        <v>7.91</v>
      </c>
      <c r="S414" s="40"/>
      <c r="T414" s="40" t="s">
        <v>508</v>
      </c>
      <c r="U414" s="40" t="str">
        <f>LEFT(Table3[[#This Row],[Stage]],FIND(".",Table3[[#This Row],[Stage]],1)-1)</f>
        <v>7</v>
      </c>
      <c r="V414" s="31" t="str">
        <f>VLOOKUP(ABS(Table3[[#This Row],[Type]]),[1]!Table9[#All],2)</f>
        <v>Carpentry</v>
      </c>
    </row>
    <row r="415" spans="1:22" x14ac:dyDescent="0.45">
      <c r="A415" s="24">
        <v>44586</v>
      </c>
      <c r="B415" t="s">
        <v>509</v>
      </c>
      <c r="C415" s="57">
        <v>7.9</v>
      </c>
      <c r="D415" s="1" t="s">
        <v>399</v>
      </c>
      <c r="E415" s="56" t="s">
        <v>71</v>
      </c>
      <c r="F415" s="58"/>
      <c r="G415" s="126">
        <v>1</v>
      </c>
      <c r="H415" s="58">
        <v>9173.59</v>
      </c>
      <c r="I415" s="58"/>
      <c r="J415" s="109">
        <f>(Table3[[#This Row],[QTY]]*Table3[[#This Row],[Supplies Cost]])+Table3[[#This Row],[Tax/Fees]]</f>
        <v>9173.59</v>
      </c>
      <c r="K415" s="40"/>
      <c r="L415" s="154" t="s">
        <v>33</v>
      </c>
      <c r="M415" s="40" t="s">
        <v>47</v>
      </c>
      <c r="N415" s="40"/>
      <c r="O415" s="1"/>
      <c r="P415" s="40"/>
      <c r="Q415" s="40"/>
      <c r="R415" s="40">
        <v>7.915</v>
      </c>
      <c r="S415" s="40"/>
      <c r="T415" s="40" t="s">
        <v>508</v>
      </c>
      <c r="U415" s="40" t="str">
        <f>LEFT(Table3[[#This Row],[Stage]],FIND(".",Table3[[#This Row],[Stage]],1)-1)</f>
        <v>7</v>
      </c>
      <c r="V415" s="31" t="str">
        <f>VLOOKUP(ABS(Table3[[#This Row],[Type]]),[1]!Table9[#All],2)</f>
        <v>Carpentry</v>
      </c>
    </row>
    <row r="416" spans="1:22" x14ac:dyDescent="0.45">
      <c r="A416" s="24">
        <v>44588</v>
      </c>
      <c r="B416" t="s">
        <v>510</v>
      </c>
      <c r="C416" s="57">
        <v>3.8</v>
      </c>
      <c r="D416" s="90" t="s">
        <v>177</v>
      </c>
      <c r="E416" s="56" t="s">
        <v>511</v>
      </c>
      <c r="F416" s="58"/>
      <c r="G416" s="126">
        <v>1</v>
      </c>
      <c r="H416" s="58">
        <v>175</v>
      </c>
      <c r="I416" s="58"/>
      <c r="J416" s="109">
        <f>(Table3[[#This Row],[QTY]]*Table3[[#This Row],[Supplies Cost]])+Table3[[#This Row],[Tax/Fees]]</f>
        <v>175</v>
      </c>
      <c r="K416" s="40"/>
      <c r="L416" s="154" t="s">
        <v>33</v>
      </c>
      <c r="M416" s="40" t="s">
        <v>77</v>
      </c>
      <c r="N416" s="40"/>
      <c r="O416" s="1"/>
      <c r="P416" s="40"/>
      <c r="Q416" s="40"/>
      <c r="R416" s="40">
        <v>3.81</v>
      </c>
      <c r="S416" s="40"/>
      <c r="T416" s="40" t="s">
        <v>160</v>
      </c>
      <c r="U416" s="40" t="str">
        <f>LEFT(Table3[[#This Row],[Stage]],FIND(".",Table3[[#This Row],[Stage]],1)-1)</f>
        <v>3</v>
      </c>
      <c r="V416" s="31" t="str">
        <f>VLOOKUP(ABS(Table3[[#This Row],[Type]]),[1]!Table9[#All],2)</f>
        <v>Masonary</v>
      </c>
    </row>
    <row r="417" spans="1:22" x14ac:dyDescent="0.45">
      <c r="A417" s="24">
        <v>44588</v>
      </c>
      <c r="B417" t="s">
        <v>478</v>
      </c>
      <c r="C417" s="57">
        <v>3.8</v>
      </c>
      <c r="D417" s="1" t="s">
        <v>399</v>
      </c>
      <c r="E417" s="58" t="s">
        <v>477</v>
      </c>
      <c r="F417" s="58"/>
      <c r="G417" s="126">
        <v>2</v>
      </c>
      <c r="H417" s="58">
        <v>57.506</v>
      </c>
      <c r="I417" s="58">
        <v>20.13</v>
      </c>
      <c r="J417" s="109">
        <f>(Table3[[#This Row],[QTY]]*Table3[[#This Row],[Supplies Cost]])+Table3[[#This Row],[Tax/Fees]]</f>
        <v>135.142</v>
      </c>
      <c r="K417" s="40"/>
      <c r="L417" s="154" t="s">
        <v>33</v>
      </c>
      <c r="M417" s="40" t="s">
        <v>47</v>
      </c>
      <c r="N417" s="40" t="s">
        <v>479</v>
      </c>
      <c r="O417" s="1"/>
      <c r="P417" s="40" t="s">
        <v>49</v>
      </c>
      <c r="Q417" s="40"/>
      <c r="R417" s="40">
        <v>3.81</v>
      </c>
      <c r="S417" s="40"/>
      <c r="T417" s="40" t="s">
        <v>236</v>
      </c>
      <c r="U417" s="40" t="str">
        <f>LEFT(Table3[[#This Row],[Stage]],FIND(".",Table3[[#This Row],[Stage]],1)-1)</f>
        <v>3</v>
      </c>
      <c r="V417" s="31" t="str">
        <f>VLOOKUP(ABS(Table3[[#This Row],[Type]]),[1]!Table9[#All],2)</f>
        <v>Masonary</v>
      </c>
    </row>
    <row r="418" spans="1:22" x14ac:dyDescent="0.45">
      <c r="A418" s="24">
        <v>44589</v>
      </c>
      <c r="B418" t="s">
        <v>512</v>
      </c>
      <c r="C418" s="57">
        <v>7.8</v>
      </c>
      <c r="D418" s="152" t="s">
        <v>351</v>
      </c>
      <c r="E418" s="56" t="s">
        <v>69</v>
      </c>
      <c r="F418" s="58"/>
      <c r="G418" s="126">
        <v>1</v>
      </c>
      <c r="H418" s="58">
        <v>1100</v>
      </c>
      <c r="I418" s="58"/>
      <c r="J418" s="109">
        <f>(Table3[[#This Row],[QTY]]*Table3[[#This Row],[Supplies Cost]])+Table3[[#This Row],[Tax/Fees]]</f>
        <v>1100</v>
      </c>
      <c r="K418" s="40"/>
      <c r="L418" s="154" t="s">
        <v>92</v>
      </c>
      <c r="M418" s="40" t="s">
        <v>34</v>
      </c>
      <c r="N418" s="40"/>
      <c r="O418" s="56">
        <v>22012701</v>
      </c>
      <c r="P418" s="40"/>
      <c r="Q418" s="40"/>
      <c r="R418" s="40"/>
      <c r="S418" s="40"/>
      <c r="T418" s="31" t="s">
        <v>354</v>
      </c>
      <c r="U418" s="40" t="str">
        <f>LEFT(Table3[[#This Row],[Stage]],FIND(".",Table3[[#This Row],[Stage]],1)-1)</f>
        <v>7</v>
      </c>
      <c r="V418" s="31" t="str">
        <f>VLOOKUP(ABS(Table3[[#This Row],[Type]]),[1]!Table9[#All],2)</f>
        <v>Carpentry</v>
      </c>
    </row>
    <row r="419" spans="1:22" x14ac:dyDescent="0.45">
      <c r="A419" s="24">
        <v>44589</v>
      </c>
      <c r="B419" t="s">
        <v>513</v>
      </c>
      <c r="C419" s="57">
        <v>7.8</v>
      </c>
      <c r="D419" s="152" t="s">
        <v>351</v>
      </c>
      <c r="E419" s="56" t="s">
        <v>69</v>
      </c>
      <c r="F419" s="58"/>
      <c r="G419" s="126">
        <v>1</v>
      </c>
      <c r="H419" s="58">
        <v>3450</v>
      </c>
      <c r="I419" s="58"/>
      <c r="J419" s="109">
        <f>(Table3[[#This Row],[QTY]]*Table3[[#This Row],[Supplies Cost]])+Table3[[#This Row],[Tax/Fees]]</f>
        <v>3450</v>
      </c>
      <c r="K419" s="40"/>
      <c r="L419" s="154" t="s">
        <v>92</v>
      </c>
      <c r="M419" s="40" t="s">
        <v>34</v>
      </c>
      <c r="N419" s="40"/>
      <c r="O419" s="56">
        <v>22012701</v>
      </c>
      <c r="P419" s="40"/>
      <c r="Q419" s="40"/>
      <c r="R419" s="40"/>
      <c r="S419" s="40"/>
      <c r="T419" s="31" t="s">
        <v>365</v>
      </c>
      <c r="U419" s="40" t="str">
        <f>LEFT(Table3[[#This Row],[Stage]],FIND(".",Table3[[#This Row],[Stage]],1)-1)</f>
        <v>7</v>
      </c>
      <c r="V419" s="31" t="str">
        <f>VLOOKUP(ABS(Table3[[#This Row],[Type]]),[1]!Table9[#All],2)</f>
        <v>Carpentry</v>
      </c>
    </row>
    <row r="420" spans="1:22" x14ac:dyDescent="0.45">
      <c r="A420" s="24">
        <v>44589</v>
      </c>
      <c r="B420" t="s">
        <v>514</v>
      </c>
      <c r="C420" s="57">
        <v>7.8</v>
      </c>
      <c r="D420" s="27" t="s">
        <v>351</v>
      </c>
      <c r="E420" s="25" t="s">
        <v>69</v>
      </c>
      <c r="F420" s="28"/>
      <c r="G420" s="126">
        <v>1</v>
      </c>
      <c r="H420" s="28">
        <v>-1150</v>
      </c>
      <c r="I420" s="28"/>
      <c r="J420" s="178">
        <f>(Table3[[#This Row],[QTY]]*Table3[[#This Row],[Supplies Cost]])+Table3[[#This Row],[Tax/Fees]]</f>
        <v>-1150</v>
      </c>
      <c r="K420" s="31"/>
      <c r="L420" s="33" t="s">
        <v>92</v>
      </c>
      <c r="M420" s="31" t="s">
        <v>34</v>
      </c>
      <c r="N420" s="31"/>
      <c r="O420" s="56">
        <v>22012701</v>
      </c>
      <c r="P420" s="31"/>
      <c r="Q420" s="31"/>
      <c r="R420" s="31"/>
      <c r="S420" s="31"/>
      <c r="T420" s="31" t="s">
        <v>365</v>
      </c>
      <c r="U420" s="31" t="str">
        <f>LEFT(Table3[[#This Row],[Stage]],FIND(".",Table3[[#This Row],[Stage]],1)-1)</f>
        <v>7</v>
      </c>
      <c r="V420" s="31" t="str">
        <f>VLOOKUP(ABS(Table3[[#This Row],[Type]]),[1]!Table9[#All],2)</f>
        <v>Carpentry</v>
      </c>
    </row>
    <row r="421" spans="1:22" x14ac:dyDescent="0.45">
      <c r="A421" s="24">
        <v>44589</v>
      </c>
      <c r="B421" t="s">
        <v>515</v>
      </c>
      <c r="C421" s="57">
        <v>7.8</v>
      </c>
      <c r="D421" s="27" t="s">
        <v>351</v>
      </c>
      <c r="E421" s="25" t="s">
        <v>69</v>
      </c>
      <c r="F421" s="28"/>
      <c r="G421" s="126">
        <v>5</v>
      </c>
      <c r="H421" s="28">
        <v>80</v>
      </c>
      <c r="I421" s="28"/>
      <c r="J421" s="178">
        <f>(Table3[[#This Row],[QTY]]*Table3[[#This Row],[Supplies Cost]])+Table3[[#This Row],[Tax/Fees]]</f>
        <v>400</v>
      </c>
      <c r="K421" s="31"/>
      <c r="L421" s="33" t="s">
        <v>92</v>
      </c>
      <c r="M421" s="31" t="s">
        <v>34</v>
      </c>
      <c r="N421" s="31"/>
      <c r="O421" s="56">
        <v>22012701</v>
      </c>
      <c r="P421" s="31"/>
      <c r="Q421" s="31"/>
      <c r="R421" s="31"/>
      <c r="S421" s="31"/>
      <c r="T421" s="31" t="s">
        <v>365</v>
      </c>
      <c r="U421" s="31" t="str">
        <f>LEFT(Table3[[#This Row],[Stage]],FIND(".",Table3[[#This Row],[Stage]],1)-1)</f>
        <v>7</v>
      </c>
      <c r="V421" s="31" t="str">
        <f>VLOOKUP(ABS(Table3[[#This Row],[Type]]),[1]!Table9[#All],2)</f>
        <v>Carpentry</v>
      </c>
    </row>
    <row r="422" spans="1:22" x14ac:dyDescent="0.45">
      <c r="A422" s="24">
        <v>44589</v>
      </c>
      <c r="B422" t="s">
        <v>516</v>
      </c>
      <c r="C422" s="57">
        <v>7.8</v>
      </c>
      <c r="D422" s="27" t="s">
        <v>351</v>
      </c>
      <c r="E422" s="25" t="s">
        <v>69</v>
      </c>
      <c r="F422" s="28"/>
      <c r="G422" s="126">
        <v>4</v>
      </c>
      <c r="H422" s="28">
        <v>55</v>
      </c>
      <c r="I422" s="28"/>
      <c r="J422" s="178">
        <f>(Table3[[#This Row],[QTY]]*Table3[[#This Row],[Supplies Cost]])+Table3[[#This Row],[Tax/Fees]]</f>
        <v>220</v>
      </c>
      <c r="K422" s="31"/>
      <c r="L422" s="33" t="s">
        <v>92</v>
      </c>
      <c r="M422" s="31" t="s">
        <v>34</v>
      </c>
      <c r="N422" s="31"/>
      <c r="O422" s="56">
        <v>22012701</v>
      </c>
      <c r="P422" s="31"/>
      <c r="Q422" s="31"/>
      <c r="R422" s="31"/>
      <c r="S422" s="31"/>
      <c r="T422" s="31" t="s">
        <v>365</v>
      </c>
      <c r="U422" s="31" t="str">
        <f>LEFT(Table3[[#This Row],[Stage]],FIND(".",Table3[[#This Row],[Stage]],1)-1)</f>
        <v>7</v>
      </c>
      <c r="V422" s="31" t="str">
        <f>VLOOKUP(ABS(Table3[[#This Row],[Type]]),[1]!Table9[#All],2)</f>
        <v>Carpentry</v>
      </c>
    </row>
    <row r="423" spans="1:22" x14ac:dyDescent="0.45">
      <c r="A423" s="24">
        <v>44589</v>
      </c>
      <c r="B423" t="s">
        <v>517</v>
      </c>
      <c r="C423" s="57">
        <v>7.8</v>
      </c>
      <c r="D423" s="27" t="s">
        <v>351</v>
      </c>
      <c r="E423" s="25" t="s">
        <v>69</v>
      </c>
      <c r="F423" s="28"/>
      <c r="G423" s="126">
        <v>4</v>
      </c>
      <c r="H423" s="28">
        <v>20</v>
      </c>
      <c r="I423" s="28"/>
      <c r="J423" s="178">
        <f>(Table3[[#This Row],[QTY]]*Table3[[#This Row],[Supplies Cost]])+Table3[[#This Row],[Tax/Fees]]</f>
        <v>80</v>
      </c>
      <c r="K423" s="31"/>
      <c r="L423" s="33" t="s">
        <v>92</v>
      </c>
      <c r="M423" s="31" t="s">
        <v>34</v>
      </c>
      <c r="N423" s="31"/>
      <c r="O423" s="56">
        <v>22012701</v>
      </c>
      <c r="P423" s="31"/>
      <c r="Q423" s="31"/>
      <c r="R423" s="31"/>
      <c r="S423" s="31"/>
      <c r="T423" s="31" t="s">
        <v>365</v>
      </c>
      <c r="U423" s="31" t="str">
        <f>LEFT(Table3[[#This Row],[Stage]],FIND(".",Table3[[#This Row],[Stage]],1)-1)</f>
        <v>7</v>
      </c>
      <c r="V423" s="31" t="str">
        <f>VLOOKUP(ABS(Table3[[#This Row],[Type]]),[1]!Table9[#All],2)</f>
        <v>Carpentry</v>
      </c>
    </row>
    <row r="424" spans="1:22" x14ac:dyDescent="0.45">
      <c r="A424" s="24">
        <v>44589</v>
      </c>
      <c r="B424" s="25" t="s">
        <v>518</v>
      </c>
      <c r="C424" s="57">
        <v>7.8</v>
      </c>
      <c r="D424" s="40" t="s">
        <v>399</v>
      </c>
      <c r="E424" s="56" t="s">
        <v>69</v>
      </c>
      <c r="F424" s="28"/>
      <c r="G424" s="126">
        <v>1</v>
      </c>
      <c r="H424" s="28">
        <v>814</v>
      </c>
      <c r="I424" s="28"/>
      <c r="J424" s="109">
        <f>(Table3[[#This Row],[QTY]]*Table3[[#This Row],[Supplies Cost]])+Table3[[#This Row],[Tax/Fees]]</f>
        <v>814</v>
      </c>
      <c r="K424" s="156">
        <v>4914</v>
      </c>
      <c r="L424" s="33" t="s">
        <v>33</v>
      </c>
      <c r="M424" s="31" t="s">
        <v>34</v>
      </c>
      <c r="N424" s="40"/>
      <c r="O424" s="25">
        <v>22012701</v>
      </c>
      <c r="P424" s="31"/>
      <c r="Q424" s="31"/>
      <c r="R424" s="31">
        <v>7.8449999999999998</v>
      </c>
      <c r="S424" s="31"/>
      <c r="T424" s="31" t="s">
        <v>302</v>
      </c>
      <c r="U424" s="31" t="str">
        <f>LEFT(Table3[[#This Row],[Stage]],FIND(".",Table3[[#This Row],[Stage]],1)-1)</f>
        <v>7</v>
      </c>
      <c r="V424" s="31" t="str">
        <f>VLOOKUP(ABS(Table3[[#This Row],[Type]]),[1]!Table9[#All],2)</f>
        <v>Carpentry</v>
      </c>
    </row>
    <row r="425" spans="1:22" x14ac:dyDescent="0.45">
      <c r="A425" s="24">
        <v>44589</v>
      </c>
      <c r="B425" s="25" t="s">
        <v>327</v>
      </c>
      <c r="C425" s="57">
        <v>8.01</v>
      </c>
      <c r="D425" s="1" t="s">
        <v>199</v>
      </c>
      <c r="E425" s="28" t="s">
        <v>328</v>
      </c>
      <c r="F425" s="28"/>
      <c r="G425" s="126">
        <v>1</v>
      </c>
      <c r="H425" s="28">
        <v>1500</v>
      </c>
      <c r="I425" s="28"/>
      <c r="J425" s="109">
        <f>(Table3[[#This Row],[QTY]]*Table3[[#This Row],[Supplies Cost]])+Table3[[#This Row],[Tax/Fees]]</f>
        <v>1500</v>
      </c>
      <c r="K425" s="31"/>
      <c r="L425" s="33" t="s">
        <v>33</v>
      </c>
      <c r="M425" s="31" t="s">
        <v>47</v>
      </c>
      <c r="N425" s="31"/>
      <c r="O425" s="31"/>
      <c r="P425" s="31"/>
      <c r="Q425" s="31"/>
      <c r="R425" s="31">
        <v>8.0150000000000006</v>
      </c>
      <c r="S425" s="31"/>
      <c r="T425" s="31" t="s">
        <v>60</v>
      </c>
      <c r="U425" s="31" t="str">
        <f>LEFT(Table3[[#This Row],[Stage]],FIND(".",Table3[[#This Row],[Stage]],1)-1)</f>
        <v>8</v>
      </c>
      <c r="V425" s="31" t="str">
        <f>VLOOKUP(ABS(Table3[[#This Row],[Type]]),[1]!Table9[#All],2)</f>
        <v>Administrative</v>
      </c>
    </row>
    <row r="426" spans="1:22" x14ac:dyDescent="0.45">
      <c r="A426" s="24">
        <v>44589</v>
      </c>
      <c r="B426" s="25" t="s">
        <v>382</v>
      </c>
      <c r="C426" s="57">
        <v>1.1100000000000001</v>
      </c>
      <c r="D426" s="27" t="s">
        <v>122</v>
      </c>
      <c r="E426" s="25" t="s">
        <v>123</v>
      </c>
      <c r="F426" s="28"/>
      <c r="G426" s="126">
        <v>1</v>
      </c>
      <c r="H426" s="28">
        <v>50000</v>
      </c>
      <c r="I426" s="28">
        <v>-156.25</v>
      </c>
      <c r="J426" s="109">
        <f>(Table3[[#This Row],[QTY]]*Table3[[#This Row],[Supplies Cost]])+Table3[[#This Row],[Tax/Fees]]</f>
        <v>49843.75</v>
      </c>
      <c r="K426" s="31"/>
      <c r="L426" s="33" t="s">
        <v>33</v>
      </c>
      <c r="M426" s="31" t="s">
        <v>124</v>
      </c>
      <c r="N426" s="31"/>
      <c r="O426" s="31"/>
      <c r="P426" s="31"/>
      <c r="Q426" s="31"/>
      <c r="R426" s="31"/>
      <c r="S426" s="31"/>
      <c r="T426" s="31" t="s">
        <v>60</v>
      </c>
      <c r="U426" s="31" t="str">
        <f>LEFT(Table3[[#This Row],[Stage]],FIND(".",Table3[[#This Row],[Stage]],1)-1)</f>
        <v>1</v>
      </c>
      <c r="V426" s="31" t="str">
        <f>VLOOKUP(ABS(Table3[[#This Row],[Type]]),[1]!Table9[#All],2)</f>
        <v>Transfers</v>
      </c>
    </row>
    <row r="427" spans="1:22" x14ac:dyDescent="0.45">
      <c r="A427" s="24">
        <v>44590</v>
      </c>
      <c r="B427" s="25" t="s">
        <v>232</v>
      </c>
      <c r="C427" s="57">
        <v>3.8</v>
      </c>
      <c r="D427" s="31" t="s">
        <v>374</v>
      </c>
      <c r="E427" s="28" t="s">
        <v>67</v>
      </c>
      <c r="F427" s="28"/>
      <c r="G427" s="126">
        <v>1</v>
      </c>
      <c r="H427" s="28">
        <v>5000</v>
      </c>
      <c r="I427" s="28"/>
      <c r="J427" s="179">
        <v>2000</v>
      </c>
      <c r="K427" s="31"/>
      <c r="L427" s="33" t="s">
        <v>92</v>
      </c>
      <c r="M427" s="31" t="s">
        <v>34</v>
      </c>
      <c r="N427" s="31"/>
      <c r="O427" s="31" t="s">
        <v>473</v>
      </c>
      <c r="P427" s="31"/>
      <c r="Q427" s="31"/>
      <c r="R427" s="31"/>
      <c r="S427" s="31"/>
      <c r="T427" s="82" t="s">
        <v>235</v>
      </c>
      <c r="U427" s="31" t="str">
        <f>LEFT(Table3[[#This Row],[Stage]],FIND(".",Table3[[#This Row],[Stage]],1)-1)</f>
        <v>3</v>
      </c>
      <c r="V427" s="31" t="str">
        <f>VLOOKUP(ABS(Table3[[#This Row],[Type]]),[1]!Table9[#All],2)</f>
        <v>Masonary</v>
      </c>
    </row>
    <row r="428" spans="1:22" x14ac:dyDescent="0.45">
      <c r="A428" s="24">
        <v>44590</v>
      </c>
      <c r="B428" s="25" t="s">
        <v>232</v>
      </c>
      <c r="C428" s="57">
        <v>3.8</v>
      </c>
      <c r="D428" s="1" t="s">
        <v>374</v>
      </c>
      <c r="E428" s="28" t="s">
        <v>67</v>
      </c>
      <c r="F428" s="28"/>
      <c r="G428" s="126">
        <v>1</v>
      </c>
      <c r="H428" s="28">
        <v>5000</v>
      </c>
      <c r="I428" s="28"/>
      <c r="J428" s="179">
        <v>3000</v>
      </c>
      <c r="K428" s="31"/>
      <c r="L428" s="33" t="s">
        <v>92</v>
      </c>
      <c r="M428" s="31" t="s">
        <v>34</v>
      </c>
      <c r="N428" s="31"/>
      <c r="O428" s="31" t="s">
        <v>473</v>
      </c>
      <c r="P428" s="31"/>
      <c r="Q428" s="31"/>
      <c r="R428" s="31"/>
      <c r="S428" s="31"/>
      <c r="T428" s="31" t="s">
        <v>160</v>
      </c>
      <c r="U428" s="31" t="str">
        <f>LEFT(Table3[[#This Row],[Stage]],FIND(".",Table3[[#This Row],[Stage]],1)-1)</f>
        <v>3</v>
      </c>
      <c r="V428" s="31" t="str">
        <f>VLOOKUP(ABS(Table3[[#This Row],[Type]]),[1]!Table9[#All],2)</f>
        <v>Masonary</v>
      </c>
    </row>
    <row r="429" spans="1:22" x14ac:dyDescent="0.45">
      <c r="A429" s="24">
        <v>44590</v>
      </c>
      <c r="B429" s="25" t="s">
        <v>232</v>
      </c>
      <c r="C429" s="57">
        <v>3.8</v>
      </c>
      <c r="D429" s="1" t="s">
        <v>374</v>
      </c>
      <c r="E429" s="28" t="s">
        <v>67</v>
      </c>
      <c r="F429" s="28"/>
      <c r="G429" s="149">
        <v>1</v>
      </c>
      <c r="H429" s="28">
        <v>5000</v>
      </c>
      <c r="I429" s="28"/>
      <c r="J429" s="109">
        <v>400</v>
      </c>
      <c r="K429" s="31">
        <v>20000</v>
      </c>
      <c r="L429" s="33" t="s">
        <v>92</v>
      </c>
      <c r="M429" s="31" t="s">
        <v>34</v>
      </c>
      <c r="N429" s="31"/>
      <c r="O429" s="31" t="s">
        <v>473</v>
      </c>
      <c r="P429" s="31"/>
      <c r="Q429" s="31"/>
      <c r="R429" s="31"/>
      <c r="S429" s="31"/>
      <c r="T429" s="31" t="s">
        <v>142</v>
      </c>
      <c r="U429" s="31" t="str">
        <f>LEFT(Table3[[#This Row],[Stage]],FIND(".",Table3[[#This Row],[Stage]],1)-1)</f>
        <v>3</v>
      </c>
      <c r="V429" s="31" t="str">
        <f>VLOOKUP(ABS(Table3[[#This Row],[Type]]),[1]!Table9[#All],2)</f>
        <v>Masonary</v>
      </c>
    </row>
    <row r="430" spans="1:22" x14ac:dyDescent="0.45">
      <c r="A430" s="24">
        <v>44590</v>
      </c>
      <c r="B430" s="25" t="s">
        <v>331</v>
      </c>
      <c r="C430" s="57">
        <v>3.8</v>
      </c>
      <c r="D430" s="152" t="s">
        <v>431</v>
      </c>
      <c r="E430" s="25" t="s">
        <v>67</v>
      </c>
      <c r="F430" s="28"/>
      <c r="G430" s="126">
        <v>1</v>
      </c>
      <c r="H430" s="28">
        <v>50</v>
      </c>
      <c r="I430" s="28"/>
      <c r="J430" s="179">
        <f>(Table3[[#This Row],[QTY]]*Table3[[#This Row],[Supplies Cost]])+Table3[[#This Row],[Tax/Fees]]</f>
        <v>50</v>
      </c>
      <c r="K430" s="156"/>
      <c r="L430" s="33" t="s">
        <v>92</v>
      </c>
      <c r="M430" s="31" t="s">
        <v>77</v>
      </c>
      <c r="N430" s="31"/>
      <c r="O430" s="31" t="s">
        <v>473</v>
      </c>
      <c r="P430" s="31"/>
      <c r="Q430" s="31"/>
      <c r="R430" s="31"/>
      <c r="S430" s="31"/>
      <c r="T430" s="31" t="s">
        <v>56</v>
      </c>
      <c r="U430" s="31" t="str">
        <f>LEFT(Table3[[#This Row],[Stage]],FIND(".",Table3[[#This Row],[Stage]],1)-1)</f>
        <v>3</v>
      </c>
      <c r="V430" s="31" t="str">
        <f>VLOOKUP(ABS(Table3[[#This Row],[Type]]),[1]!Table9[#All],2)</f>
        <v>Masonary</v>
      </c>
    </row>
    <row r="431" spans="1:22" x14ac:dyDescent="0.45">
      <c r="A431" s="24">
        <v>44590</v>
      </c>
      <c r="B431" s="25" t="s">
        <v>232</v>
      </c>
      <c r="C431" s="57">
        <v>3.8</v>
      </c>
      <c r="D431" s="1" t="s">
        <v>399</v>
      </c>
      <c r="E431" s="25" t="s">
        <v>67</v>
      </c>
      <c r="F431" s="28"/>
      <c r="G431" s="126">
        <v>1</v>
      </c>
      <c r="H431" s="28">
        <v>5000</v>
      </c>
      <c r="I431" s="28"/>
      <c r="J431" s="179">
        <f>(Table3[[#This Row],[QTY]]*Table3[[#This Row],[Supplies Cost]])+Table3[[#This Row],[Tax/Fees]]</f>
        <v>5000</v>
      </c>
      <c r="K431" s="156"/>
      <c r="L431" s="33" t="s">
        <v>33</v>
      </c>
      <c r="M431" s="31" t="s">
        <v>34</v>
      </c>
      <c r="N431" s="31"/>
      <c r="O431" s="31" t="s">
        <v>473</v>
      </c>
      <c r="P431" s="31"/>
      <c r="Q431" s="31"/>
      <c r="R431" s="31">
        <v>3.83</v>
      </c>
      <c r="S431" s="31"/>
      <c r="T431" s="82" t="s">
        <v>235</v>
      </c>
      <c r="U431" s="31" t="str">
        <f>LEFT(Table3[[#This Row],[Stage]],FIND(".",Table3[[#This Row],[Stage]],1)-1)</f>
        <v>3</v>
      </c>
      <c r="V431" s="31" t="str">
        <f>VLOOKUP(ABS(Table3[[#This Row],[Type]]),[1]!Table9[#All],2)</f>
        <v>Masonary</v>
      </c>
    </row>
    <row r="432" spans="1:22" x14ac:dyDescent="0.45">
      <c r="A432" s="24">
        <v>44590</v>
      </c>
      <c r="B432" s="25" t="s">
        <v>232</v>
      </c>
      <c r="C432" s="57">
        <v>3.8</v>
      </c>
      <c r="D432" s="31" t="s">
        <v>399</v>
      </c>
      <c r="E432" s="25" t="s">
        <v>67</v>
      </c>
      <c r="F432" s="28"/>
      <c r="G432" s="149">
        <v>1</v>
      </c>
      <c r="H432" s="28">
        <v>5000</v>
      </c>
      <c r="I432" s="28"/>
      <c r="J432" s="179">
        <f>(Table3[[#This Row],[QTY]]*Table3[[#This Row],[Supplies Cost]])+Table3[[#This Row],[Tax/Fees]]</f>
        <v>5000</v>
      </c>
      <c r="K432" s="31"/>
      <c r="L432" s="33" t="s">
        <v>92</v>
      </c>
      <c r="M432" s="31" t="s">
        <v>34</v>
      </c>
      <c r="N432" s="31"/>
      <c r="O432" s="31" t="s">
        <v>473</v>
      </c>
      <c r="P432" s="31"/>
      <c r="Q432" s="31"/>
      <c r="R432" s="31"/>
      <c r="S432" s="31"/>
      <c r="T432" s="31" t="s">
        <v>85</v>
      </c>
      <c r="U432" s="31" t="str">
        <f>LEFT(Table3[[#This Row],[Stage]],FIND(".",Table3[[#This Row],[Stage]],1)-1)</f>
        <v>3</v>
      </c>
      <c r="V432" s="31" t="str">
        <f>VLOOKUP(ABS(Table3[[#This Row],[Type]]),[1]!Table9[#All],2)</f>
        <v>Masonary</v>
      </c>
    </row>
    <row r="433" spans="1:22" x14ac:dyDescent="0.45">
      <c r="A433" s="24">
        <v>44590</v>
      </c>
      <c r="B433" s="25" t="s">
        <v>232</v>
      </c>
      <c r="C433" s="180">
        <v>3.8</v>
      </c>
      <c r="D433" s="1" t="s">
        <v>439</v>
      </c>
      <c r="E433" s="25" t="s">
        <v>67</v>
      </c>
      <c r="F433" s="28"/>
      <c r="G433" s="149">
        <v>1</v>
      </c>
      <c r="H433" s="28">
        <v>5000</v>
      </c>
      <c r="I433" s="28"/>
      <c r="J433" s="179">
        <f>(Table3[[#This Row],[QTY]]*Table3[[#This Row],[Supplies Cost]])+Table3[[#This Row],[Tax/Fees]]</f>
        <v>5000</v>
      </c>
      <c r="K433" s="31"/>
      <c r="L433" s="33" t="s">
        <v>92</v>
      </c>
      <c r="M433" s="31" t="s">
        <v>34</v>
      </c>
      <c r="N433" s="31"/>
      <c r="O433" s="31" t="s">
        <v>473</v>
      </c>
      <c r="P433" s="31"/>
      <c r="Q433" s="31"/>
      <c r="R433" s="31"/>
      <c r="S433" s="31"/>
      <c r="T433" s="31" t="s">
        <v>236</v>
      </c>
      <c r="U433" s="31" t="str">
        <f>LEFT(Table3[[#This Row],[Stage]],FIND(".",Table3[[#This Row],[Stage]],1)-1)</f>
        <v>3</v>
      </c>
      <c r="V433" s="31" t="str">
        <f>VLOOKUP(ABS(Table3[[#This Row],[Type]]),[1]!Table9[#All],2)</f>
        <v>Masonary</v>
      </c>
    </row>
    <row r="434" spans="1:22" x14ac:dyDescent="0.45">
      <c r="A434" s="24">
        <v>44592</v>
      </c>
      <c r="B434" s="25" t="s">
        <v>147</v>
      </c>
      <c r="C434" s="180">
        <v>13.3</v>
      </c>
      <c r="D434" s="27" t="s">
        <v>177</v>
      </c>
      <c r="E434" s="25" t="s">
        <v>71</v>
      </c>
      <c r="F434" s="28"/>
      <c r="G434" s="126">
        <v>1</v>
      </c>
      <c r="H434" s="28">
        <v>5817.73</v>
      </c>
      <c r="I434" s="28"/>
      <c r="J434" s="109">
        <f>(Table3[[#This Row],[QTY]]*Table3[[#This Row],[Supplies Cost]])+Table3[[#This Row],[Tax/Fees]]</f>
        <v>5817.73</v>
      </c>
      <c r="K434" s="31"/>
      <c r="L434" s="33" t="s">
        <v>33</v>
      </c>
      <c r="M434" s="31" t="s">
        <v>47</v>
      </c>
      <c r="N434" s="31"/>
      <c r="O434" s="31"/>
      <c r="P434" s="31"/>
      <c r="Q434" s="31"/>
      <c r="R434" s="31">
        <v>13.31</v>
      </c>
      <c r="S434" s="31"/>
      <c r="T434" s="31" t="s">
        <v>53</v>
      </c>
      <c r="U434" s="31" t="str">
        <f>LEFT(Table3[[#This Row],[Stage]],FIND(".",Table3[[#This Row],[Stage]],1)-1)</f>
        <v>13</v>
      </c>
      <c r="V434" s="31" t="str">
        <f>VLOOKUP(ABS(Table3[[#This Row],[Type]]),[1]!Table9[#All],2)</f>
        <v>Electrical</v>
      </c>
    </row>
    <row r="435" spans="1:22" x14ac:dyDescent="0.45">
      <c r="A435" s="24">
        <v>44597</v>
      </c>
      <c r="B435" s="25" t="s">
        <v>519</v>
      </c>
      <c r="C435" s="180">
        <v>3.8</v>
      </c>
      <c r="D435" s="27" t="s">
        <v>520</v>
      </c>
      <c r="E435" s="25" t="s">
        <v>71</v>
      </c>
      <c r="F435" s="28"/>
      <c r="G435" s="126">
        <v>1</v>
      </c>
      <c r="H435" s="28">
        <v>417.45</v>
      </c>
      <c r="I435" s="28"/>
      <c r="J435" s="109">
        <f>(Table3[[#This Row],[QTY]]*Table3[[#This Row],[Supplies Cost]])+Table3[[#This Row],[Tax/Fees]]</f>
        <v>417.45</v>
      </c>
      <c r="K435" s="31"/>
      <c r="L435" s="33" t="s">
        <v>33</v>
      </c>
      <c r="M435" s="31" t="s">
        <v>47</v>
      </c>
      <c r="N435" s="31"/>
      <c r="O435" s="31"/>
      <c r="P435" s="31"/>
      <c r="Q435" s="31"/>
      <c r="R435" s="31">
        <v>3.81</v>
      </c>
      <c r="S435" s="31"/>
      <c r="T435" s="31" t="s">
        <v>354</v>
      </c>
      <c r="U435" s="31" t="str">
        <f>LEFT(Table3[[#This Row],[Stage]],FIND(".",Table3[[#This Row],[Stage]],1)-1)</f>
        <v>3</v>
      </c>
      <c r="V435" s="31" t="str">
        <f>VLOOKUP(ABS(Table3[[#This Row],[Type]]),[1]!Table9[#All],2)</f>
        <v>Masonary</v>
      </c>
    </row>
    <row r="436" spans="1:22" x14ac:dyDescent="0.45">
      <c r="A436" s="24">
        <v>44600</v>
      </c>
      <c r="B436" s="25" t="s">
        <v>339</v>
      </c>
      <c r="C436" s="180">
        <v>7.36</v>
      </c>
      <c r="D436" s="27" t="s">
        <v>279</v>
      </c>
      <c r="E436" s="25" t="s">
        <v>71</v>
      </c>
      <c r="F436" s="28"/>
      <c r="G436" s="126">
        <v>1</v>
      </c>
      <c r="H436" s="28">
        <v>695.01</v>
      </c>
      <c r="I436" s="28"/>
      <c r="J436" s="109">
        <f>(Table3[[#This Row],[QTY]]*Table3[[#This Row],[Supplies Cost]])+Table3[[#This Row],[Tax/Fees]]</f>
        <v>695.01</v>
      </c>
      <c r="K436" s="31"/>
      <c r="L436" s="33" t="s">
        <v>33</v>
      </c>
      <c r="M436" s="31" t="s">
        <v>47</v>
      </c>
      <c r="N436" s="31"/>
      <c r="O436" s="31"/>
      <c r="P436" s="31"/>
      <c r="Q436" s="31"/>
      <c r="R436" s="31">
        <v>7.3615000000000004</v>
      </c>
      <c r="S436" s="31"/>
      <c r="T436" s="31" t="s">
        <v>160</v>
      </c>
      <c r="U436" s="31" t="str">
        <f>LEFT(Table3[[#This Row],[Stage]],FIND(".",Table3[[#This Row],[Stage]],1)-1)</f>
        <v>7</v>
      </c>
      <c r="V436" s="31" t="str">
        <f>VLOOKUP(ABS(Table3[[#This Row],[Type]]),[1]!Table9[#All],2)</f>
        <v>Carpentry</v>
      </c>
    </row>
    <row r="437" spans="1:22" x14ac:dyDescent="0.45">
      <c r="A437" s="24">
        <v>44603</v>
      </c>
      <c r="B437" s="25" t="s">
        <v>521</v>
      </c>
      <c r="C437" s="180">
        <v>7.9</v>
      </c>
      <c r="D437" s="1" t="s">
        <v>399</v>
      </c>
      <c r="E437" s="25" t="s">
        <v>116</v>
      </c>
      <c r="F437" s="28"/>
      <c r="G437" s="126">
        <v>1</v>
      </c>
      <c r="H437" s="28">
        <v>1603.88</v>
      </c>
      <c r="I437" s="28"/>
      <c r="J437" s="109">
        <f>(Table3[[#This Row],[QTY]]*Table3[[#This Row],[Supplies Cost]])+Table3[[#This Row],[Tax/Fees]]</f>
        <v>1603.88</v>
      </c>
      <c r="K437" s="31"/>
      <c r="L437" s="33" t="s">
        <v>33</v>
      </c>
      <c r="M437" s="31" t="s">
        <v>77</v>
      </c>
      <c r="N437" s="31"/>
      <c r="O437" s="31"/>
      <c r="P437" s="31"/>
      <c r="Q437" s="31"/>
      <c r="R437" s="31">
        <v>7.91</v>
      </c>
      <c r="S437" s="31"/>
      <c r="T437" s="31" t="s">
        <v>433</v>
      </c>
      <c r="U437" s="31" t="str">
        <f>LEFT(Table3[[#This Row],[Stage]],FIND(".",Table3[[#This Row],[Stage]],1)-1)</f>
        <v>7</v>
      </c>
      <c r="V437" s="31" t="str">
        <f>VLOOKUP(ABS(Table3[[#This Row],[Type]]),[1]!Table9[#All],2)</f>
        <v>Carpentry</v>
      </c>
    </row>
    <row r="438" spans="1:22" x14ac:dyDescent="0.45">
      <c r="A438" s="24">
        <v>44604</v>
      </c>
      <c r="B438" s="25" t="s">
        <v>522</v>
      </c>
      <c r="C438" s="57">
        <v>3.8</v>
      </c>
      <c r="D438" s="27" t="s">
        <v>520</v>
      </c>
      <c r="E438" s="25" t="s">
        <v>71</v>
      </c>
      <c r="F438" s="28"/>
      <c r="G438" s="126">
        <v>1</v>
      </c>
      <c r="H438" s="28">
        <v>15</v>
      </c>
      <c r="I438" s="28"/>
      <c r="J438" s="109">
        <f>(Table3[[#This Row],[QTY]]*Table3[[#This Row],[Supplies Cost]])+Table3[[#This Row],[Tax/Fees]]</f>
        <v>15</v>
      </c>
      <c r="K438" s="31"/>
      <c r="L438" s="33" t="s">
        <v>33</v>
      </c>
      <c r="M438" s="31" t="s">
        <v>47</v>
      </c>
      <c r="N438" s="31"/>
      <c r="O438" s="31"/>
      <c r="P438" s="31"/>
      <c r="Q438" s="31"/>
      <c r="R438" s="31">
        <v>3.81</v>
      </c>
      <c r="S438" s="31"/>
      <c r="T438" s="31" t="s">
        <v>160</v>
      </c>
      <c r="U438" s="31" t="str">
        <f>LEFT(Table3[[#This Row],[Stage]],FIND(".",Table3[[#This Row],[Stage]],1)-1)</f>
        <v>3</v>
      </c>
      <c r="V438" s="31" t="str">
        <f>VLOOKUP(ABS(Table3[[#This Row],[Type]]),[1]!Table9[#All],2)</f>
        <v>Masonary</v>
      </c>
    </row>
    <row r="439" spans="1:22" x14ac:dyDescent="0.45">
      <c r="A439" s="24">
        <v>44606</v>
      </c>
      <c r="B439" s="25" t="s">
        <v>523</v>
      </c>
      <c r="C439" s="57">
        <v>7.9</v>
      </c>
      <c r="D439" s="31" t="s">
        <v>399</v>
      </c>
      <c r="E439" s="25" t="s">
        <v>71</v>
      </c>
      <c r="F439" s="28"/>
      <c r="G439" s="126">
        <v>1</v>
      </c>
      <c r="H439" s="28">
        <v>2886.04</v>
      </c>
      <c r="I439" s="28">
        <v>505.05756875852336</v>
      </c>
      <c r="J439" s="109">
        <f>(Table3[[#This Row],[QTY]]*Table3[[#This Row],[Supplies Cost]])+Table3[[#This Row],[Tax/Fees]]</f>
        <v>3391.0975687585233</v>
      </c>
      <c r="K439" s="31"/>
      <c r="L439" s="33" t="s">
        <v>92</v>
      </c>
      <c r="M439" s="31" t="s">
        <v>47</v>
      </c>
      <c r="N439" s="31"/>
      <c r="O439" s="31" t="s">
        <v>524</v>
      </c>
      <c r="P439" s="31"/>
      <c r="Q439" s="31"/>
      <c r="R439" s="31"/>
      <c r="S439" s="31"/>
      <c r="T439" s="31" t="s">
        <v>508</v>
      </c>
      <c r="U439" s="31" t="str">
        <f>LEFT(Table3[[#This Row],[Stage]],FIND(".",Table3[[#This Row],[Stage]],1)-1)</f>
        <v>7</v>
      </c>
      <c r="V439" s="31" t="str">
        <f>VLOOKUP(ABS(Table3[[#This Row],[Type]]),[1]!Table9[#All],2)</f>
        <v>Carpentry</v>
      </c>
    </row>
    <row r="440" spans="1:22" x14ac:dyDescent="0.45">
      <c r="A440" s="24">
        <v>44606</v>
      </c>
      <c r="B440" s="25" t="s">
        <v>525</v>
      </c>
      <c r="C440" s="57">
        <v>7.9</v>
      </c>
      <c r="D440" s="1" t="s">
        <v>399</v>
      </c>
      <c r="E440" s="25" t="s">
        <v>71</v>
      </c>
      <c r="F440" s="28"/>
      <c r="G440" s="126">
        <v>1</v>
      </c>
      <c r="H440" s="28">
        <v>291.77999999999997</v>
      </c>
      <c r="I440" s="28">
        <v>51.061557501753938</v>
      </c>
      <c r="J440" s="109">
        <f>(Table3[[#This Row],[QTY]]*Table3[[#This Row],[Supplies Cost]])+Table3[[#This Row],[Tax/Fees]]</f>
        <v>342.84155750175393</v>
      </c>
      <c r="K440" s="31"/>
      <c r="L440" s="33" t="s">
        <v>92</v>
      </c>
      <c r="M440" s="31" t="s">
        <v>47</v>
      </c>
      <c r="N440" s="31"/>
      <c r="O440" s="31" t="s">
        <v>524</v>
      </c>
      <c r="P440" s="31"/>
      <c r="Q440" s="31"/>
      <c r="R440" s="31"/>
      <c r="S440" s="31"/>
      <c r="T440" s="31" t="s">
        <v>508</v>
      </c>
      <c r="U440" s="31" t="str">
        <f>LEFT(Table3[[#This Row],[Stage]],FIND(".",Table3[[#This Row],[Stage]],1)-1)</f>
        <v>7</v>
      </c>
      <c r="V440" s="31" t="str">
        <f>VLOOKUP(ABS(Table3[[#This Row],[Type]]),[1]!Table9[#All],2)</f>
        <v>Carpentry</v>
      </c>
    </row>
    <row r="441" spans="1:22" x14ac:dyDescent="0.45">
      <c r="A441" s="24">
        <v>44606</v>
      </c>
      <c r="B441" s="25" t="s">
        <v>146</v>
      </c>
      <c r="C441" s="57">
        <v>10.38</v>
      </c>
      <c r="D441" s="1" t="s">
        <v>399</v>
      </c>
      <c r="E441" s="25" t="s">
        <v>71</v>
      </c>
      <c r="F441" s="28"/>
      <c r="G441" s="126">
        <v>1</v>
      </c>
      <c r="H441" s="28">
        <v>627.89</v>
      </c>
      <c r="I441" s="28">
        <v>109.88087373972267</v>
      </c>
      <c r="J441" s="109">
        <f>(Table3[[#This Row],[QTY]]*Table3[[#This Row],[Supplies Cost]])+Table3[[#This Row],[Tax/Fees]]</f>
        <v>737.77087373972267</v>
      </c>
      <c r="K441" s="156">
        <v>4471.71</v>
      </c>
      <c r="L441" s="33" t="s">
        <v>33</v>
      </c>
      <c r="M441" s="31" t="s">
        <v>47</v>
      </c>
      <c r="N441" s="31"/>
      <c r="O441" s="31" t="s">
        <v>524</v>
      </c>
      <c r="P441" s="31"/>
      <c r="Q441" s="31"/>
      <c r="R441" s="31">
        <v>10.382999999999999</v>
      </c>
      <c r="S441" s="31"/>
      <c r="T441" s="31" t="s">
        <v>526</v>
      </c>
      <c r="U441" s="31" t="str">
        <f>LEFT(Table3[[#This Row],[Stage]],FIND(".",Table3[[#This Row],[Stage]],1)-1)</f>
        <v>10</v>
      </c>
      <c r="V441" s="31" t="str">
        <f>VLOOKUP(ABS(Table3[[#This Row],[Type]]),[1]!Table9[#All],2)</f>
        <v>Plumbing</v>
      </c>
    </row>
    <row r="442" spans="1:22" x14ac:dyDescent="0.45">
      <c r="A442" s="24">
        <v>44606</v>
      </c>
      <c r="B442" s="25" t="s">
        <v>527</v>
      </c>
      <c r="C442" s="127">
        <v>8.0299999999999994</v>
      </c>
      <c r="D442" s="1" t="s">
        <v>144</v>
      </c>
      <c r="E442" s="25" t="s">
        <v>46</v>
      </c>
      <c r="F442" s="28"/>
      <c r="G442" s="126">
        <v>1</v>
      </c>
      <c r="H442" s="28">
        <v>84.9</v>
      </c>
      <c r="I442" s="28"/>
      <c r="J442" s="109">
        <f>(Table3[[#This Row],[QTY]]*Table3[[#This Row],[Supplies Cost]])+Table3[[#This Row],[Tax/Fees]]</f>
        <v>84.9</v>
      </c>
      <c r="K442" s="31"/>
      <c r="L442" s="33" t="s">
        <v>33</v>
      </c>
      <c r="M442" s="31" t="s">
        <v>47</v>
      </c>
      <c r="N442" s="31"/>
      <c r="O442" s="31"/>
      <c r="P442" s="31"/>
      <c r="Q442" s="31"/>
      <c r="R442" s="31">
        <v>8.0335000000000001</v>
      </c>
      <c r="S442" s="31"/>
      <c r="T442" s="31" t="s">
        <v>60</v>
      </c>
      <c r="U442" s="31" t="str">
        <f>LEFT(Table3[[#This Row],[Stage]],FIND(".",Table3[[#This Row],[Stage]],1)-1)</f>
        <v>8</v>
      </c>
      <c r="V442" s="31" t="str">
        <f>VLOOKUP(ABS(Table3[[#This Row],[Type]]),[1]!Table9[#All],2)</f>
        <v>Administrative</v>
      </c>
    </row>
    <row r="443" spans="1:22" x14ac:dyDescent="0.45">
      <c r="A443" s="24">
        <v>44606</v>
      </c>
      <c r="B443" s="25" t="s">
        <v>408</v>
      </c>
      <c r="C443" s="127">
        <v>8.0299999999999994</v>
      </c>
      <c r="D443" s="40" t="s">
        <v>144</v>
      </c>
      <c r="E443" s="25" t="s">
        <v>46</v>
      </c>
      <c r="F443" s="28"/>
      <c r="G443" s="174">
        <v>1</v>
      </c>
      <c r="H443" s="28">
        <v>76.37</v>
      </c>
      <c r="I443" s="28"/>
      <c r="J443" s="109">
        <f>(Table3[[#This Row],[QTY]]*Table3[[#This Row],[Supplies Cost]])+Table3[[#This Row],[Tax/Fees]]</f>
        <v>76.37</v>
      </c>
      <c r="K443" s="31"/>
      <c r="L443" s="33" t="s">
        <v>33</v>
      </c>
      <c r="M443" s="31" t="s">
        <v>77</v>
      </c>
      <c r="N443" s="31"/>
      <c r="O443" s="31"/>
      <c r="P443" s="31"/>
      <c r="Q443" s="31"/>
      <c r="R443" s="31">
        <v>8.0314999999999994</v>
      </c>
      <c r="S443" s="31"/>
      <c r="T443" s="31" t="s">
        <v>60</v>
      </c>
      <c r="U443" s="31" t="str">
        <f>LEFT(Table3[[#This Row],[Stage]],FIND(".",Table3[[#This Row],[Stage]],1)-1)</f>
        <v>8</v>
      </c>
      <c r="V443" s="31" t="str">
        <f>VLOOKUP(ABS(Table3[[#This Row],[Type]]),[1]!Table9[#All],2)</f>
        <v>Administrative</v>
      </c>
    </row>
    <row r="444" spans="1:22" x14ac:dyDescent="0.45">
      <c r="A444" s="24">
        <v>44606</v>
      </c>
      <c r="B444" t="s">
        <v>528</v>
      </c>
      <c r="C444" s="57">
        <v>3.8</v>
      </c>
      <c r="D444" s="27" t="s">
        <v>520</v>
      </c>
      <c r="E444" s="25" t="s">
        <v>67</v>
      </c>
      <c r="F444" s="28"/>
      <c r="G444" s="126">
        <v>2</v>
      </c>
      <c r="H444" s="28">
        <v>375</v>
      </c>
      <c r="I444" s="28"/>
      <c r="J444" s="109">
        <f>(Table3[[#This Row],[QTY]]*Table3[[#This Row],[Supplies Cost]])+Table3[[#This Row],[Tax/Fees]]</f>
        <v>750</v>
      </c>
      <c r="K444" s="31"/>
      <c r="L444" s="33" t="s">
        <v>33</v>
      </c>
      <c r="M444" s="31" t="s">
        <v>47</v>
      </c>
      <c r="N444" s="31"/>
      <c r="O444" s="31"/>
      <c r="P444" s="31"/>
      <c r="Q444" s="31"/>
      <c r="R444" s="31">
        <v>3.8149999999999999</v>
      </c>
      <c r="S444" s="31"/>
      <c r="T444" s="31" t="s">
        <v>160</v>
      </c>
      <c r="U444" s="31" t="str">
        <f>LEFT(Table3[[#This Row],[Stage]],FIND(".",Table3[[#This Row],[Stage]],1)-1)</f>
        <v>3</v>
      </c>
      <c r="V444" s="31" t="str">
        <f>VLOOKUP(ABS(Table3[[#This Row],[Type]]),[1]!Table9[#All],2)</f>
        <v>Masonary</v>
      </c>
    </row>
    <row r="445" spans="1:22" x14ac:dyDescent="0.45">
      <c r="A445" s="24">
        <v>44607</v>
      </c>
      <c r="B445" t="s">
        <v>529</v>
      </c>
      <c r="C445" s="57">
        <v>8.0399999999999991</v>
      </c>
      <c r="D445" s="27" t="s">
        <v>45</v>
      </c>
      <c r="E445" s="25" t="s">
        <v>127</v>
      </c>
      <c r="F445" s="28"/>
      <c r="G445" s="126">
        <v>1</v>
      </c>
      <c r="H445" s="28">
        <v>611.5</v>
      </c>
      <c r="I445" s="28"/>
      <c r="J445" s="109">
        <f>(Table3[[#This Row],[QTY]]*Table3[[#This Row],[Supplies Cost]])+Table3[[#This Row],[Tax/Fees]]</f>
        <v>611.5</v>
      </c>
      <c r="K445" s="31"/>
      <c r="L445" s="33" t="s">
        <v>33</v>
      </c>
      <c r="M445" s="31" t="s">
        <v>77</v>
      </c>
      <c r="N445" s="31"/>
      <c r="O445" s="31"/>
      <c r="P445" s="31"/>
      <c r="Q445" s="31"/>
      <c r="R445" s="31">
        <v>8.0425000000000004</v>
      </c>
      <c r="S445" s="31"/>
      <c r="T445" s="31" t="s">
        <v>160</v>
      </c>
      <c r="U445" s="31" t="str">
        <f>LEFT(Table3[[#This Row],[Stage]],FIND(".",Table3[[#This Row],[Stage]],1)-1)</f>
        <v>8</v>
      </c>
      <c r="V445" s="31" t="str">
        <f>VLOOKUP(ABS(Table3[[#This Row],[Type]]),[1]!Table9[#All],2)</f>
        <v>Administrative</v>
      </c>
    </row>
    <row r="446" spans="1:22" x14ac:dyDescent="0.45">
      <c r="A446" s="24">
        <v>44607</v>
      </c>
      <c r="B446" s="25" t="s">
        <v>530</v>
      </c>
      <c r="C446" s="57">
        <v>7.9</v>
      </c>
      <c r="D446" s="27" t="s">
        <v>431</v>
      </c>
      <c r="E446" s="25" t="s">
        <v>69</v>
      </c>
      <c r="F446" s="28"/>
      <c r="G446" s="126">
        <v>1</v>
      </c>
      <c r="H446" s="28">
        <v>4317</v>
      </c>
      <c r="I446" s="28"/>
      <c r="J446" s="109">
        <f>(Table3[[#This Row],[QTY]]*Table3[[#This Row],[Supplies Cost]])+Table3[[#This Row],[Tax/Fees]]</f>
        <v>4317</v>
      </c>
      <c r="K446" s="31"/>
      <c r="L446" s="33" t="s">
        <v>92</v>
      </c>
      <c r="M446" s="31" t="s">
        <v>34</v>
      </c>
      <c r="N446" s="31"/>
      <c r="O446" s="31" t="s">
        <v>531</v>
      </c>
      <c r="P446" s="31"/>
      <c r="Q446" s="31"/>
      <c r="R446" s="31"/>
      <c r="S446" s="31"/>
      <c r="T446" s="31" t="s">
        <v>508</v>
      </c>
      <c r="U446" s="31" t="str">
        <f>LEFT(Table3[[#This Row],[Stage]],FIND(".",Table3[[#This Row],[Stage]],1)-1)</f>
        <v>7</v>
      </c>
      <c r="V446" s="31" t="str">
        <f>VLOOKUP(ABS(Table3[[#This Row],[Type]]),[1]!Table9[#All],2)</f>
        <v>Carpentry</v>
      </c>
    </row>
    <row r="447" spans="1:22" ht="46.15" x14ac:dyDescent="0.45">
      <c r="A447" s="24">
        <v>44607</v>
      </c>
      <c r="B447" s="25" t="s">
        <v>532</v>
      </c>
      <c r="C447" s="57">
        <v>7.51</v>
      </c>
      <c r="D447" s="27" t="s">
        <v>489</v>
      </c>
      <c r="E447" s="25" t="s">
        <v>69</v>
      </c>
      <c r="F447" s="28">
        <v>3530</v>
      </c>
      <c r="G447" s="126">
        <v>1</v>
      </c>
      <c r="H447" s="28">
        <v>1765</v>
      </c>
      <c r="I447" s="28"/>
      <c r="J447" s="109">
        <f>(Table3[[#This Row],[QTY]]*Table3[[#This Row],[Supplies Cost]])+Table3[[#This Row],[Tax/Fees]]</f>
        <v>1765</v>
      </c>
      <c r="K447" s="31"/>
      <c r="L447" s="33" t="s">
        <v>92</v>
      </c>
      <c r="M447" s="31" t="s">
        <v>47</v>
      </c>
      <c r="N447" s="31"/>
      <c r="O447" s="31" t="s">
        <v>533</v>
      </c>
      <c r="P447" s="31"/>
      <c r="Q447" s="31"/>
      <c r="R447" s="31">
        <v>7.5119999999999996</v>
      </c>
      <c r="S447" s="31" t="s">
        <v>534</v>
      </c>
      <c r="T447" s="31" t="s">
        <v>535</v>
      </c>
      <c r="U447" s="31" t="str">
        <f>LEFT(Table3[[#This Row],[Stage]],FIND(".",Table3[[#This Row],[Stage]],1)-1)</f>
        <v>7</v>
      </c>
      <c r="V447" s="31" t="str">
        <f>VLOOKUP(ABS(Table3[[#This Row],[Type]]),[1]!Table9[#All],2)</f>
        <v>Carpentry</v>
      </c>
    </row>
    <row r="448" spans="1:22" ht="46.15" x14ac:dyDescent="0.45">
      <c r="A448" s="24">
        <v>44607</v>
      </c>
      <c r="B448" t="s">
        <v>532</v>
      </c>
      <c r="C448" s="57">
        <v>7.51</v>
      </c>
      <c r="D448" s="27" t="s">
        <v>489</v>
      </c>
      <c r="E448" s="25" t="s">
        <v>69</v>
      </c>
      <c r="F448" s="28">
        <v>3530</v>
      </c>
      <c r="G448" s="126">
        <v>1</v>
      </c>
      <c r="H448" s="28">
        <v>1765</v>
      </c>
      <c r="I448" s="28"/>
      <c r="J448" s="109">
        <f>(Table3[[#This Row],[QTY]]*Table3[[#This Row],[Supplies Cost]])+Table3[[#This Row],[Tax/Fees]]</f>
        <v>1765</v>
      </c>
      <c r="K448" s="156">
        <v>3530</v>
      </c>
      <c r="L448" s="33" t="s">
        <v>33</v>
      </c>
      <c r="M448" s="31" t="s">
        <v>34</v>
      </c>
      <c r="N448" s="31"/>
      <c r="O448" s="31" t="s">
        <v>533</v>
      </c>
      <c r="P448" s="31"/>
      <c r="Q448" s="31"/>
      <c r="R448" s="31">
        <v>7.5114999999999998</v>
      </c>
      <c r="S448" s="31" t="s">
        <v>534</v>
      </c>
      <c r="T448" s="31" t="s">
        <v>535</v>
      </c>
      <c r="U448" s="31" t="str">
        <f>LEFT(Table3[[#This Row],[Stage]],FIND(".",Table3[[#This Row],[Stage]],1)-1)</f>
        <v>7</v>
      </c>
      <c r="V448" s="31" t="str">
        <f>VLOOKUP(ABS(Table3[[#This Row],[Type]]),[1]!Table9[#All],2)</f>
        <v>Carpentry</v>
      </c>
    </row>
    <row r="449" spans="1:22" x14ac:dyDescent="0.45">
      <c r="A449" s="24">
        <v>44607</v>
      </c>
      <c r="B449" s="25" t="s">
        <v>536</v>
      </c>
      <c r="C449" s="57">
        <v>8.0399999999999991</v>
      </c>
      <c r="D449" s="27" t="s">
        <v>489</v>
      </c>
      <c r="E449" s="25" t="s">
        <v>104</v>
      </c>
      <c r="F449" s="28"/>
      <c r="G449" s="126">
        <v>1</v>
      </c>
      <c r="H449" s="28">
        <v>16.11</v>
      </c>
      <c r="I449" s="28"/>
      <c r="J449" s="109">
        <f>(Table3[[#This Row],[QTY]]*Table3[[#This Row],[Supplies Cost]])+Table3[[#This Row],[Tax/Fees]]</f>
        <v>16.11</v>
      </c>
      <c r="K449" s="31"/>
      <c r="L449" s="33" t="s">
        <v>33</v>
      </c>
      <c r="M449" s="31" t="s">
        <v>77</v>
      </c>
      <c r="N449" s="31"/>
      <c r="O449" s="31"/>
      <c r="P449" s="31"/>
      <c r="Q449" s="31"/>
      <c r="R449" s="31">
        <v>8.0410000000000004</v>
      </c>
      <c r="S449" s="31"/>
      <c r="T449" s="31" t="s">
        <v>60</v>
      </c>
      <c r="U449" s="31" t="str">
        <f>LEFT(Table3[[#This Row],[Stage]],FIND(".",Table3[[#This Row],[Stage]],1)-1)</f>
        <v>8</v>
      </c>
      <c r="V449" s="31" t="str">
        <f>VLOOKUP(ABS(Table3[[#This Row],[Type]]),[1]!Table9[#All],2)</f>
        <v>Administrative</v>
      </c>
    </row>
    <row r="450" spans="1:22" x14ac:dyDescent="0.45">
      <c r="A450" s="24">
        <v>44607</v>
      </c>
      <c r="B450" s="25" t="s">
        <v>537</v>
      </c>
      <c r="C450" s="57">
        <v>3.1</v>
      </c>
      <c r="D450" s="27" t="s">
        <v>489</v>
      </c>
      <c r="E450" s="25" t="s">
        <v>239</v>
      </c>
      <c r="F450" s="28"/>
      <c r="G450" s="126">
        <v>1</v>
      </c>
      <c r="H450" s="28">
        <v>910</v>
      </c>
      <c r="I450" s="28"/>
      <c r="J450" s="109">
        <f>(Table3[[#This Row],[QTY]]*Table3[[#This Row],[Supplies Cost]])+Table3[[#This Row],[Tax/Fees]]</f>
        <v>910</v>
      </c>
      <c r="K450" s="31"/>
      <c r="L450" s="33" t="s">
        <v>33</v>
      </c>
      <c r="M450" s="31" t="s">
        <v>77</v>
      </c>
      <c r="N450" s="31"/>
      <c r="O450" s="31"/>
      <c r="P450" s="31"/>
      <c r="Q450" s="31"/>
      <c r="R450" s="31">
        <v>3.1150000000000002</v>
      </c>
      <c r="S450" s="31"/>
      <c r="T450" s="31" t="s">
        <v>160</v>
      </c>
      <c r="U450" s="31" t="str">
        <f>LEFT(Table3[[#This Row],[Stage]],FIND(".",Table3[[#This Row],[Stage]],1)-1)</f>
        <v>3</v>
      </c>
      <c r="V450" s="31" t="str">
        <f>VLOOKUP(ABS(Table3[[#This Row],[Type]]),[1]!Table9[#All],2)</f>
        <v>Masonary</v>
      </c>
    </row>
    <row r="451" spans="1:22" x14ac:dyDescent="0.45">
      <c r="A451" s="24">
        <v>44607</v>
      </c>
      <c r="B451" s="25" t="s">
        <v>530</v>
      </c>
      <c r="C451" s="57">
        <v>7.9</v>
      </c>
      <c r="D451" s="27" t="s">
        <v>399</v>
      </c>
      <c r="E451" s="25" t="s">
        <v>69</v>
      </c>
      <c r="F451" s="28"/>
      <c r="G451" s="126">
        <v>1</v>
      </c>
      <c r="H451" s="28">
        <v>4317</v>
      </c>
      <c r="I451" s="28"/>
      <c r="J451" s="109">
        <f>(Table3[[#This Row],[QTY]]*Table3[[#This Row],[Supplies Cost]])+Table3[[#This Row],[Tax/Fees]]</f>
        <v>4317</v>
      </c>
      <c r="K451" s="156">
        <v>8634</v>
      </c>
      <c r="L451" s="33" t="s">
        <v>33</v>
      </c>
      <c r="M451" s="31" t="s">
        <v>34</v>
      </c>
      <c r="N451" s="31"/>
      <c r="O451" s="31" t="s">
        <v>531</v>
      </c>
      <c r="P451" s="31"/>
      <c r="Q451" s="31"/>
      <c r="R451" s="31">
        <v>7.915</v>
      </c>
      <c r="S451" s="31"/>
      <c r="T451" s="31" t="s">
        <v>508</v>
      </c>
      <c r="U451" s="31" t="str">
        <f>LEFT(Table3[[#This Row],[Stage]],FIND(".",Table3[[#This Row],[Stage]],1)-1)</f>
        <v>7</v>
      </c>
      <c r="V451" s="31" t="str">
        <f>VLOOKUP(ABS(Table3[[#This Row],[Type]]),[1]!Table9[#All],2)</f>
        <v>Carpentry</v>
      </c>
    </row>
    <row r="452" spans="1:22" x14ac:dyDescent="0.45">
      <c r="A452" s="24">
        <v>44609</v>
      </c>
      <c r="B452" s="25" t="s">
        <v>538</v>
      </c>
      <c r="C452" s="57">
        <v>5.42</v>
      </c>
      <c r="D452" s="152" t="s">
        <v>118</v>
      </c>
      <c r="E452" s="25" t="s">
        <v>64</v>
      </c>
      <c r="F452" s="28"/>
      <c r="G452" s="126">
        <v>5</v>
      </c>
      <c r="H452" s="28">
        <v>150</v>
      </c>
      <c r="I452" s="28"/>
      <c r="J452" s="109">
        <f>(Table3[[#This Row],[QTY]]*Table3[[#This Row],[Supplies Cost]])+Table3[[#This Row],[Tax/Fees]]</f>
        <v>750</v>
      </c>
      <c r="K452" s="156">
        <v>1895</v>
      </c>
      <c r="L452" s="33" t="s">
        <v>33</v>
      </c>
      <c r="M452" s="31" t="s">
        <v>34</v>
      </c>
      <c r="N452" s="31"/>
      <c r="O452" s="31" t="s">
        <v>504</v>
      </c>
      <c r="P452" s="31"/>
      <c r="Q452" s="31"/>
      <c r="R452" s="31">
        <v>5.4215</v>
      </c>
      <c r="S452" s="31"/>
      <c r="T452" s="40" t="s">
        <v>160</v>
      </c>
      <c r="U452" s="31" t="str">
        <f>LEFT(Table3[[#This Row],[Stage]],FIND(".",Table3[[#This Row],[Stage]],1)-1)</f>
        <v>5</v>
      </c>
      <c r="V452" s="31" t="str">
        <f>VLOOKUP(ABS(Table3[[#This Row],[Type]]),[1]!Table9[#All],2)</f>
        <v>Earthworks</v>
      </c>
    </row>
    <row r="453" spans="1:22" x14ac:dyDescent="0.45">
      <c r="A453" s="24">
        <v>44610</v>
      </c>
      <c r="B453" s="25" t="s">
        <v>121</v>
      </c>
      <c r="C453" s="57">
        <v>1.1100000000000001</v>
      </c>
      <c r="D453" s="90" t="s">
        <v>122</v>
      </c>
      <c r="E453" s="56" t="s">
        <v>123</v>
      </c>
      <c r="F453" s="28"/>
      <c r="G453" s="126">
        <v>1</v>
      </c>
      <c r="H453" s="28">
        <v>50000</v>
      </c>
      <c r="I453" s="28">
        <v>-156.25</v>
      </c>
      <c r="J453" s="109">
        <f>(Table3[[#This Row],[QTY]]*Table3[[#This Row],[Supplies Cost]])+Table3[[#This Row],[Tax/Fees]]</f>
        <v>49843.75</v>
      </c>
      <c r="K453" s="31"/>
      <c r="L453" s="33" t="s">
        <v>33</v>
      </c>
      <c r="M453" s="31" t="s">
        <v>124</v>
      </c>
      <c r="N453" s="31"/>
      <c r="O453" s="31"/>
      <c r="P453" s="31"/>
      <c r="Q453" s="31"/>
      <c r="R453" s="31">
        <v>3.1150000000000002</v>
      </c>
      <c r="S453" s="31"/>
      <c r="T453" s="31" t="s">
        <v>60</v>
      </c>
      <c r="U453" s="31" t="str">
        <f>LEFT(Table3[[#This Row],[Stage]],FIND(".",Table3[[#This Row],[Stage]],1)-1)</f>
        <v>1</v>
      </c>
      <c r="V453" s="31" t="str">
        <f>VLOOKUP(ABS(Table3[[#This Row],[Type]]),[1]!Table9[#All],2)</f>
        <v>Transfers</v>
      </c>
    </row>
    <row r="454" spans="1:22" x14ac:dyDescent="0.45">
      <c r="A454" s="24">
        <v>44613</v>
      </c>
      <c r="B454" s="25" t="s">
        <v>539</v>
      </c>
      <c r="C454" s="57">
        <v>7.9</v>
      </c>
      <c r="D454" s="152" t="s">
        <v>399</v>
      </c>
      <c r="E454" s="25" t="s">
        <v>219</v>
      </c>
      <c r="F454" s="28"/>
      <c r="G454" s="126">
        <v>11</v>
      </c>
      <c r="H454" s="28">
        <v>36.950000000000003</v>
      </c>
      <c r="I454" s="28">
        <v>71.13</v>
      </c>
      <c r="J454" s="109">
        <f>(Table3[[#This Row],[QTY]]*Table3[[#This Row],[Supplies Cost]])+Table3[[#This Row],[Tax/Fees]]</f>
        <v>477.58000000000004</v>
      </c>
      <c r="K454" s="31"/>
      <c r="L454" s="33" t="s">
        <v>33</v>
      </c>
      <c r="M454" s="31" t="s">
        <v>47</v>
      </c>
      <c r="N454" s="31"/>
      <c r="O454" s="31"/>
      <c r="P454" s="31"/>
      <c r="Q454" s="31" t="s">
        <v>540</v>
      </c>
      <c r="R454" s="31">
        <v>7.91</v>
      </c>
      <c r="S454" s="31"/>
      <c r="T454" s="31" t="s">
        <v>508</v>
      </c>
      <c r="U454" s="31" t="str">
        <f>LEFT(Table3[[#This Row],[Stage]],FIND(".",Table3[[#This Row],[Stage]],1)-1)</f>
        <v>7</v>
      </c>
      <c r="V454" s="31" t="str">
        <f>VLOOKUP(ABS(Table3[[#This Row],[Type]]),[1]!Table9[#All],2)</f>
        <v>Carpentry</v>
      </c>
    </row>
    <row r="455" spans="1:22" x14ac:dyDescent="0.45">
      <c r="A455" s="24">
        <v>44614</v>
      </c>
      <c r="B455" s="25" t="s">
        <v>541</v>
      </c>
      <c r="C455" s="57">
        <v>3.8</v>
      </c>
      <c r="D455" s="90" t="s">
        <v>358</v>
      </c>
      <c r="E455" s="25" t="s">
        <v>71</v>
      </c>
      <c r="F455" s="28"/>
      <c r="G455" s="174">
        <v>1</v>
      </c>
      <c r="H455" s="28">
        <v>844.66</v>
      </c>
      <c r="I455" s="28"/>
      <c r="J455" s="109">
        <f>(Table3[[#This Row],[QTY]]*Table3[[#This Row],[Supplies Cost]])+Table3[[#This Row],[Tax/Fees]]</f>
        <v>844.66</v>
      </c>
      <c r="K455" s="31"/>
      <c r="L455" s="33" t="s">
        <v>33</v>
      </c>
      <c r="M455" s="31" t="s">
        <v>47</v>
      </c>
      <c r="N455" s="31"/>
      <c r="O455" s="31"/>
      <c r="P455" s="31"/>
      <c r="Q455" s="31"/>
      <c r="R455" s="31">
        <v>3.8250000000000002</v>
      </c>
      <c r="S455" s="31"/>
      <c r="T455" s="31" t="s">
        <v>160</v>
      </c>
      <c r="U455" s="31" t="str">
        <f>LEFT(Table3[[#This Row],[Stage]],FIND(".",Table3[[#This Row],[Stage]],1)-1)</f>
        <v>3</v>
      </c>
      <c r="V455" s="31" t="str">
        <f>VLOOKUP(ABS(Table3[[#This Row],[Type]]),[1]!Table9[#All],2)</f>
        <v>Masonary</v>
      </c>
    </row>
    <row r="456" spans="1:22" x14ac:dyDescent="0.45">
      <c r="A456" s="24">
        <v>44614</v>
      </c>
      <c r="B456" s="25" t="s">
        <v>542</v>
      </c>
      <c r="C456" s="181">
        <v>8.0299999999999994</v>
      </c>
      <c r="D456" s="1" t="s">
        <v>144</v>
      </c>
      <c r="E456" s="25" t="s">
        <v>46</v>
      </c>
      <c r="F456" s="28"/>
      <c r="G456" s="29">
        <v>1</v>
      </c>
      <c r="H456" s="28">
        <v>78.680000000000007</v>
      </c>
      <c r="I456" s="28"/>
      <c r="J456" s="109">
        <f>(Table3[[#This Row],[QTY]]*Table3[[#This Row],[Supplies Cost]])+Table3[[#This Row],[Tax/Fees]]</f>
        <v>78.680000000000007</v>
      </c>
      <c r="K456" s="31"/>
      <c r="L456" s="33" t="s">
        <v>33</v>
      </c>
      <c r="M456" s="31" t="s">
        <v>77</v>
      </c>
      <c r="N456" s="31"/>
      <c r="O456" s="31"/>
      <c r="P456" s="31"/>
      <c r="Q456" s="31"/>
      <c r="R456" s="31">
        <v>8.0310000000000006</v>
      </c>
      <c r="S456" s="31"/>
      <c r="T456" s="31" t="s">
        <v>60</v>
      </c>
      <c r="U456" s="31" t="str">
        <f>LEFT(Table3[[#This Row],[Stage]],FIND(".",Table3[[#This Row],[Stage]],1)-1)</f>
        <v>8</v>
      </c>
      <c r="V456" s="31" t="str">
        <f>VLOOKUP(ABS(Table3[[#This Row],[Type]]),[1]!Table9[#All],2)</f>
        <v>Administrative</v>
      </c>
    </row>
    <row r="457" spans="1:22" x14ac:dyDescent="0.45">
      <c r="A457" s="24">
        <v>44617</v>
      </c>
      <c r="B457" s="25" t="s">
        <v>543</v>
      </c>
      <c r="C457" s="57">
        <v>7.9</v>
      </c>
      <c r="D457" s="31" t="s">
        <v>399</v>
      </c>
      <c r="E457" s="25" t="s">
        <v>116</v>
      </c>
      <c r="F457" s="28"/>
      <c r="G457" s="182">
        <v>1</v>
      </c>
      <c r="H457" s="28">
        <v>534.62</v>
      </c>
      <c r="I457" s="28"/>
      <c r="J457" s="109">
        <f>(Table3[[#This Row],[QTY]]*Table3[[#This Row],[Supplies Cost]])+Table3[[#This Row],[Tax/Fees]]</f>
        <v>534.62</v>
      </c>
      <c r="K457" s="31"/>
      <c r="L457" s="33" t="s">
        <v>33</v>
      </c>
      <c r="M457" s="31" t="s">
        <v>77</v>
      </c>
      <c r="N457" s="31"/>
      <c r="O457" s="31"/>
      <c r="P457" s="31"/>
      <c r="Q457" s="31"/>
      <c r="R457" s="31">
        <v>7.91</v>
      </c>
      <c r="S457" s="31"/>
      <c r="T457" s="31" t="s">
        <v>433</v>
      </c>
      <c r="U457" s="31" t="str">
        <f>LEFT(Table3[[#This Row],[Stage]],FIND(".",Table3[[#This Row],[Stage]],1)-1)</f>
        <v>7</v>
      </c>
      <c r="V457" s="31" t="str">
        <f>VLOOKUP(ABS(Table3[[#This Row],[Type]]),[1]!Table9[#All],2)</f>
        <v>Carpentry</v>
      </c>
    </row>
    <row r="458" spans="1:22" x14ac:dyDescent="0.45">
      <c r="A458" s="24">
        <v>44618</v>
      </c>
      <c r="B458" s="25" t="s">
        <v>544</v>
      </c>
      <c r="C458" s="57">
        <v>3.8</v>
      </c>
      <c r="D458" s="152" t="s">
        <v>358</v>
      </c>
      <c r="E458" s="25" t="s">
        <v>71</v>
      </c>
      <c r="F458" s="28"/>
      <c r="G458" s="182">
        <v>1</v>
      </c>
      <c r="H458" s="28">
        <v>92.7</v>
      </c>
      <c r="I458" s="28"/>
      <c r="J458" s="109">
        <f>(Table3[[#This Row],[QTY]]*Table3[[#This Row],[Supplies Cost]])+Table3[[#This Row],[Tax/Fees]]</f>
        <v>92.7</v>
      </c>
      <c r="K458" s="31"/>
      <c r="L458" s="33" t="s">
        <v>92</v>
      </c>
      <c r="M458" s="31" t="s">
        <v>47</v>
      </c>
      <c r="N458" s="31"/>
      <c r="O458" s="31" t="s">
        <v>545</v>
      </c>
      <c r="P458" s="31"/>
      <c r="Q458" s="31"/>
      <c r="R458" s="31"/>
      <c r="S458" s="31"/>
      <c r="T458" s="31" t="s">
        <v>160</v>
      </c>
      <c r="U458" s="31" t="str">
        <f>LEFT(Table3[[#This Row],[Stage]],FIND(".",Table3[[#This Row],[Stage]],1)-1)</f>
        <v>3</v>
      </c>
      <c r="V458" s="31" t="str">
        <f>VLOOKUP(ABS(Table3[[#This Row],[Type]]),[1]!Table9[#All],2)</f>
        <v>Masonary</v>
      </c>
    </row>
    <row r="459" spans="1:22" x14ac:dyDescent="0.45">
      <c r="A459" s="24">
        <v>44618</v>
      </c>
      <c r="B459" s="25" t="s">
        <v>546</v>
      </c>
      <c r="C459" s="57">
        <v>26.5</v>
      </c>
      <c r="D459" s="31" t="s">
        <v>399</v>
      </c>
      <c r="E459" s="25" t="s">
        <v>71</v>
      </c>
      <c r="F459" s="28"/>
      <c r="G459" s="182">
        <v>1</v>
      </c>
      <c r="H459" s="28">
        <v>1042.99</v>
      </c>
      <c r="I459" s="28">
        <v>198.75</v>
      </c>
      <c r="J459" s="109">
        <f>(Table3[[#This Row],[QTY]]*Table3[[#This Row],[Supplies Cost]])+Table3[[#This Row],[Tax/Fees]]</f>
        <v>1241.74</v>
      </c>
      <c r="K459" s="156">
        <v>1334.44</v>
      </c>
      <c r="L459" s="33" t="s">
        <v>33</v>
      </c>
      <c r="M459" s="31" t="s">
        <v>47</v>
      </c>
      <c r="N459" s="31"/>
      <c r="O459" s="31" t="s">
        <v>545</v>
      </c>
      <c r="P459" s="31"/>
      <c r="Q459" s="31"/>
      <c r="R459" s="31">
        <v>26.52</v>
      </c>
      <c r="S459" s="31"/>
      <c r="T459" s="31" t="s">
        <v>433</v>
      </c>
      <c r="U459" s="31" t="str">
        <f>LEFT(Table3[[#This Row],[Stage]],FIND(".",Table3[[#This Row],[Stage]],1)-1)</f>
        <v>26</v>
      </c>
      <c r="V459" s="31" t="str">
        <f>VLOOKUP(ABS(Table3[[#This Row],[Type]]),[1]!Table9[#All],2)</f>
        <v>Painting</v>
      </c>
    </row>
    <row r="460" spans="1:22" x14ac:dyDescent="0.45">
      <c r="A460" s="24">
        <v>44620</v>
      </c>
      <c r="B460" s="25" t="s">
        <v>547</v>
      </c>
      <c r="C460" s="57">
        <v>7.9</v>
      </c>
      <c r="D460" s="27" t="s">
        <v>425</v>
      </c>
      <c r="E460" s="25" t="s">
        <v>71</v>
      </c>
      <c r="F460" s="28"/>
      <c r="G460" s="182">
        <v>1</v>
      </c>
      <c r="H460" s="28">
        <v>632.62</v>
      </c>
      <c r="I460" s="28"/>
      <c r="J460" s="109">
        <f>(Table3[[#This Row],[QTY]]*Table3[[#This Row],[Supplies Cost]])+Table3[[#This Row],[Tax/Fees]]</f>
        <v>632.62</v>
      </c>
      <c r="K460" s="31"/>
      <c r="L460" s="33" t="s">
        <v>33</v>
      </c>
      <c r="M460" s="31" t="s">
        <v>47</v>
      </c>
      <c r="N460" s="31"/>
      <c r="O460" s="31"/>
      <c r="P460" s="31"/>
      <c r="Q460" s="31"/>
      <c r="R460" s="31">
        <v>7.91</v>
      </c>
      <c r="S460" s="31"/>
      <c r="T460" s="31" t="s">
        <v>365</v>
      </c>
      <c r="U460" s="31" t="str">
        <f>LEFT(Table3[[#This Row],[Stage]],FIND(".",Table3[[#This Row],[Stage]],1)-1)</f>
        <v>7</v>
      </c>
      <c r="V460" s="31" t="str">
        <f>VLOOKUP(ABS(Table3[[#This Row],[Type]]),[1]!Table9[#All],2)</f>
        <v>Carpentry</v>
      </c>
    </row>
    <row r="461" spans="1:22" x14ac:dyDescent="0.45">
      <c r="A461" s="24">
        <v>44621</v>
      </c>
      <c r="B461" s="25" t="s">
        <v>548</v>
      </c>
      <c r="C461" s="57">
        <v>5.67</v>
      </c>
      <c r="D461" s="90" t="s">
        <v>118</v>
      </c>
      <c r="E461" s="25" t="s">
        <v>64</v>
      </c>
      <c r="F461" s="28"/>
      <c r="G461" s="182">
        <v>1</v>
      </c>
      <c r="H461" s="28">
        <v>650</v>
      </c>
      <c r="I461" s="28"/>
      <c r="J461" s="109">
        <f>(Table3[[#This Row],[QTY]]*Table3[[#This Row],[Supplies Cost]])+Table3[[#This Row],[Tax/Fees]]</f>
        <v>650</v>
      </c>
      <c r="K461" s="31"/>
      <c r="L461" s="33" t="s">
        <v>33</v>
      </c>
      <c r="M461" s="31" t="s">
        <v>47</v>
      </c>
      <c r="N461" s="31"/>
      <c r="O461" s="31"/>
      <c r="P461" s="31"/>
      <c r="Q461" s="31"/>
      <c r="R461" s="31">
        <v>5.6719999999999997</v>
      </c>
      <c r="S461" s="31"/>
      <c r="T461" s="31" t="s">
        <v>160</v>
      </c>
      <c r="U461" s="31" t="str">
        <f>LEFT(Table3[[#This Row],[Stage]],FIND(".",Table3[[#This Row],[Stage]],1)-1)</f>
        <v>5</v>
      </c>
      <c r="V461" s="31" t="str">
        <f>VLOOKUP(ABS(Table3[[#This Row],[Type]]),[1]!Table9[#All],2)</f>
        <v>Earthworks</v>
      </c>
    </row>
    <row r="462" spans="1:22" x14ac:dyDescent="0.45">
      <c r="A462" s="183">
        <v>44623</v>
      </c>
      <c r="B462" s="143" t="s">
        <v>549</v>
      </c>
      <c r="C462" s="130">
        <v>3.7</v>
      </c>
      <c r="D462" s="139" t="s">
        <v>351</v>
      </c>
      <c r="E462" s="143" t="s">
        <v>352</v>
      </c>
      <c r="F462" s="133"/>
      <c r="G462" s="140">
        <v>1</v>
      </c>
      <c r="H462" s="133">
        <v>1080.02</v>
      </c>
      <c r="I462" s="133"/>
      <c r="J462" s="135">
        <f>(Table3[[#This Row],[QTY]]*Table3[[#This Row],[Supplies Cost]])+Table3[[#This Row],[Tax/Fees]]</f>
        <v>1080.02</v>
      </c>
      <c r="K462" s="139"/>
      <c r="L462" s="137" t="s">
        <v>33</v>
      </c>
      <c r="M462" s="139" t="s">
        <v>47</v>
      </c>
      <c r="N462" s="139"/>
      <c r="O462" s="139"/>
      <c r="P462" s="139"/>
      <c r="Q462" s="139"/>
      <c r="R462" s="139">
        <v>3.7349999999999999</v>
      </c>
      <c r="S462" s="139"/>
      <c r="T462" s="139" t="s">
        <v>354</v>
      </c>
      <c r="U462" s="139" t="str">
        <f>LEFT(Table3[[#This Row],[Stage]],FIND(".",Table3[[#This Row],[Stage]],1)-1)</f>
        <v>3</v>
      </c>
      <c r="V462" s="139" t="str">
        <f>VLOOKUP(ABS(Table3[[#This Row],[Type]]),[1]!Table9[#All],2)</f>
        <v>Masonary</v>
      </c>
    </row>
    <row r="463" spans="1:22" s="129" customFormat="1" x14ac:dyDescent="0.45">
      <c r="A463" s="183">
        <v>44623</v>
      </c>
      <c r="B463" s="143" t="s">
        <v>550</v>
      </c>
      <c r="C463" s="130">
        <v>7.9</v>
      </c>
      <c r="D463" s="142" t="s">
        <v>431</v>
      </c>
      <c r="E463" s="143" t="s">
        <v>69</v>
      </c>
      <c r="F463" s="133"/>
      <c r="G463" s="134">
        <v>1</v>
      </c>
      <c r="H463" s="133">
        <v>5756</v>
      </c>
      <c r="I463" s="133"/>
      <c r="J463" s="135">
        <f>(Table3[[#This Row],[QTY]]*Table3[[#This Row],[Supplies Cost]])+Table3[[#This Row],[Tax/Fees]]</f>
        <v>5756</v>
      </c>
      <c r="K463" s="139"/>
      <c r="L463" s="137" t="s">
        <v>92</v>
      </c>
      <c r="M463" s="139" t="s">
        <v>34</v>
      </c>
      <c r="N463" s="139"/>
      <c r="O463" s="139">
        <v>22030301</v>
      </c>
      <c r="P463" s="139"/>
      <c r="Q463" s="139"/>
      <c r="R463" s="139"/>
      <c r="S463" s="139"/>
      <c r="T463" s="139" t="s">
        <v>508</v>
      </c>
      <c r="U463" s="139" t="str">
        <f>LEFT(Table3[[#This Row],[Stage]],FIND(".",Table3[[#This Row],[Stage]],1)-1)</f>
        <v>7</v>
      </c>
      <c r="V463" s="139" t="str">
        <f>VLOOKUP(ABS(Table3[[#This Row],[Type]]),[1]!Table9[#All],2)</f>
        <v>Carpentry</v>
      </c>
    </row>
    <row r="464" spans="1:22" s="129" customFormat="1" x14ac:dyDescent="0.45">
      <c r="A464" s="183">
        <v>44623</v>
      </c>
      <c r="B464" s="143" t="s">
        <v>551</v>
      </c>
      <c r="C464" s="130">
        <v>7.51</v>
      </c>
      <c r="D464" s="142" t="s">
        <v>489</v>
      </c>
      <c r="E464" s="143" t="s">
        <v>69</v>
      </c>
      <c r="F464" s="133"/>
      <c r="G464" s="134">
        <v>1</v>
      </c>
      <c r="H464" s="133">
        <v>1765</v>
      </c>
      <c r="I464" s="133"/>
      <c r="J464" s="135">
        <f>(Table3[[#This Row],[QTY]]*Table3[[#This Row],[Supplies Cost]])+Table3[[#This Row],[Tax/Fees]]</f>
        <v>1765</v>
      </c>
      <c r="K464" s="139"/>
      <c r="L464" s="137" t="s">
        <v>33</v>
      </c>
      <c r="M464" s="139" t="s">
        <v>47</v>
      </c>
      <c r="N464" s="139"/>
      <c r="O464" s="139"/>
      <c r="P464" s="139"/>
      <c r="Q464" s="139"/>
      <c r="R464" s="139">
        <v>7.5110000000000001</v>
      </c>
      <c r="S464" s="139"/>
      <c r="T464" s="139" t="s">
        <v>535</v>
      </c>
      <c r="U464" s="139" t="str">
        <f>LEFT(Table3[[#This Row],[Stage]],FIND(".",Table3[[#This Row],[Stage]],1)-1)</f>
        <v>7</v>
      </c>
      <c r="V464" s="139" t="str">
        <f>VLOOKUP(ABS(Table3[[#This Row],[Type]]),[1]!Table9[#All],2)</f>
        <v>Carpentry</v>
      </c>
    </row>
    <row r="465" spans="1:22" s="129" customFormat="1" x14ac:dyDescent="0.45">
      <c r="A465" s="183">
        <v>44623</v>
      </c>
      <c r="B465" s="132" t="s">
        <v>551</v>
      </c>
      <c r="C465" s="130">
        <v>7.51</v>
      </c>
      <c r="D465" s="131" t="s">
        <v>489</v>
      </c>
      <c r="E465" s="132" t="s">
        <v>69</v>
      </c>
      <c r="F465" s="145"/>
      <c r="G465" s="134">
        <v>1</v>
      </c>
      <c r="H465" s="133">
        <v>1765</v>
      </c>
      <c r="I465" s="133"/>
      <c r="J465" s="135">
        <f>(Table3[[#This Row],[QTY]]*Table3[[#This Row],[Supplies Cost]])+Table3[[#This Row],[Tax/Fees]]</f>
        <v>1765</v>
      </c>
      <c r="K465" s="139"/>
      <c r="L465" s="137" t="s">
        <v>33</v>
      </c>
      <c r="M465" s="139" t="s">
        <v>34</v>
      </c>
      <c r="N465" s="139"/>
      <c r="O465" s="139"/>
      <c r="P465" s="139"/>
      <c r="Q465" s="139"/>
      <c r="R465" s="139">
        <v>7.5114999999999998</v>
      </c>
      <c r="S465" s="139"/>
      <c r="T465" s="139" t="s">
        <v>535</v>
      </c>
      <c r="U465" s="139" t="str">
        <f>LEFT(Table3[[#This Row],[Stage]],FIND(".",Table3[[#This Row],[Stage]],1)-1)</f>
        <v>7</v>
      </c>
      <c r="V465" s="139" t="str">
        <f>VLOOKUP(ABS(Table3[[#This Row],[Type]]),[1]!Table9[#All],2)</f>
        <v>Carpentry</v>
      </c>
    </row>
    <row r="466" spans="1:22" s="129" customFormat="1" x14ac:dyDescent="0.45">
      <c r="A466" s="183">
        <v>44623</v>
      </c>
      <c r="B466" s="143" t="s">
        <v>146</v>
      </c>
      <c r="C466" s="141">
        <v>10.38</v>
      </c>
      <c r="D466" s="139" t="s">
        <v>399</v>
      </c>
      <c r="E466" s="143" t="s">
        <v>71</v>
      </c>
      <c r="F466" s="133"/>
      <c r="G466" s="134">
        <v>1</v>
      </c>
      <c r="H466" s="133">
        <v>655.22</v>
      </c>
      <c r="I466" s="133"/>
      <c r="J466" s="135">
        <f>(Table3[[#This Row],[QTY]]*Table3[[#This Row],[Supplies Cost]])+Table3[[#This Row],[Tax/Fees]]</f>
        <v>655.22</v>
      </c>
      <c r="K466" s="139"/>
      <c r="L466" s="137" t="s">
        <v>33</v>
      </c>
      <c r="M466" s="139" t="s">
        <v>47</v>
      </c>
      <c r="N466" s="139"/>
      <c r="O466" s="139"/>
      <c r="P466" s="139"/>
      <c r="Q466" s="139"/>
      <c r="R466" s="139">
        <v>10.384</v>
      </c>
      <c r="S466" s="139"/>
      <c r="T466" s="139" t="s">
        <v>526</v>
      </c>
      <c r="U466" s="139" t="str">
        <f>LEFT(Table3[[#This Row],[Stage]],FIND(".",Table3[[#This Row],[Stage]],1)-1)</f>
        <v>10</v>
      </c>
      <c r="V466" s="139" t="str">
        <f>VLOOKUP(ABS(Table3[[#This Row],[Type]]),[1]!Table9[#All],2)</f>
        <v>Plumbing</v>
      </c>
    </row>
    <row r="467" spans="1:22" ht="30.75" x14ac:dyDescent="0.45">
      <c r="A467" s="183">
        <v>44623</v>
      </c>
      <c r="B467" s="143" t="s">
        <v>398</v>
      </c>
      <c r="C467" s="141">
        <v>13.38</v>
      </c>
      <c r="D467" s="139" t="s">
        <v>399</v>
      </c>
      <c r="E467" s="143" t="s">
        <v>69</v>
      </c>
      <c r="F467" s="133"/>
      <c r="G467" s="134">
        <v>1</v>
      </c>
      <c r="H467" s="133">
        <v>2860</v>
      </c>
      <c r="I467" s="133"/>
      <c r="J467" s="135">
        <f>(Table3[[#This Row],[QTY]]*Table3[[#This Row],[Supplies Cost]])+Table3[[#This Row],[Tax/Fees]]</f>
        <v>2860</v>
      </c>
      <c r="K467" s="146">
        <v>8616</v>
      </c>
      <c r="L467" s="137" t="s">
        <v>33</v>
      </c>
      <c r="M467" s="139" t="s">
        <v>34</v>
      </c>
      <c r="N467" s="139"/>
      <c r="O467" s="139">
        <v>22030301</v>
      </c>
      <c r="P467" s="139"/>
      <c r="Q467" s="139"/>
      <c r="R467" s="139">
        <v>13.3825</v>
      </c>
      <c r="S467" s="139"/>
      <c r="T467" s="139" t="s">
        <v>400</v>
      </c>
      <c r="U467" s="139" t="str">
        <f>LEFT(Table3[[#This Row],[Stage]],FIND(".",Table3[[#This Row],[Stage]],1)-1)</f>
        <v>13</v>
      </c>
      <c r="V467" s="139" t="str">
        <f>VLOOKUP(ABS(Table3[[#This Row],[Type]]),[1]!Table9[#All],2)</f>
        <v>Electrical</v>
      </c>
    </row>
    <row r="468" spans="1:22" s="129" customFormat="1" x14ac:dyDescent="0.45">
      <c r="A468" s="183">
        <v>44623</v>
      </c>
      <c r="B468" s="184" t="s">
        <v>552</v>
      </c>
      <c r="C468" s="185">
        <v>13.38</v>
      </c>
      <c r="D468" s="186" t="s">
        <v>399</v>
      </c>
      <c r="E468" s="184" t="s">
        <v>69</v>
      </c>
      <c r="F468" s="187"/>
      <c r="G468" s="134">
        <v>1</v>
      </c>
      <c r="H468" s="133">
        <v>1192.05</v>
      </c>
      <c r="I468" s="133"/>
      <c r="J468" s="135">
        <f>(Table3[[#This Row],[QTY]]*Table3[[#This Row],[Supplies Cost]])+Table3[[#This Row],[Tax/Fees]]</f>
        <v>1192.05</v>
      </c>
      <c r="K468" s="139"/>
      <c r="L468" s="137" t="s">
        <v>33</v>
      </c>
      <c r="M468" s="139" t="s">
        <v>47</v>
      </c>
      <c r="N468" s="139"/>
      <c r="O468" s="139"/>
      <c r="P468" s="139"/>
      <c r="Q468" s="139"/>
      <c r="R468" s="139">
        <v>13.382999999999999</v>
      </c>
      <c r="S468" s="139"/>
      <c r="T468" s="139" t="s">
        <v>53</v>
      </c>
      <c r="U468" s="139" t="str">
        <f>LEFT(Table3[[#This Row],[Stage]],FIND(".",Table3[[#This Row],[Stage]],1)-1)</f>
        <v>13</v>
      </c>
      <c r="V468" s="139" t="str">
        <f>VLOOKUP(ABS(Table3[[#This Row],[Type]]),[1]!Table9[#All],2)</f>
        <v>Electrical</v>
      </c>
    </row>
    <row r="469" spans="1:22" s="129" customFormat="1" x14ac:dyDescent="0.45">
      <c r="A469" s="183">
        <v>44627</v>
      </c>
      <c r="B469" s="143" t="s">
        <v>553</v>
      </c>
      <c r="C469" s="130">
        <v>10.38</v>
      </c>
      <c r="D469" s="186" t="s">
        <v>399</v>
      </c>
      <c r="E469" s="143" t="s">
        <v>554</v>
      </c>
      <c r="F469" s="143"/>
      <c r="G469" s="134">
        <v>1</v>
      </c>
      <c r="H469" s="188">
        <v>228.66</v>
      </c>
      <c r="I469" s="133"/>
      <c r="J469" s="135">
        <f>(Table3[[#This Row],[QTY]]*Table3[[#This Row],[Supplies Cost]])+Table3[[#This Row],[Tax/Fees]]</f>
        <v>228.66</v>
      </c>
      <c r="K469" s="139"/>
      <c r="L469" s="137" t="s">
        <v>33</v>
      </c>
      <c r="M469" s="139" t="s">
        <v>47</v>
      </c>
      <c r="N469" s="139"/>
      <c r="O469" s="139"/>
      <c r="P469" s="139"/>
      <c r="Q469" s="139"/>
      <c r="R469" s="139">
        <v>10.381</v>
      </c>
      <c r="S469" s="139"/>
      <c r="T469" s="139" t="s">
        <v>526</v>
      </c>
      <c r="U469" s="139" t="str">
        <f>LEFT(Table3[[#This Row],[Stage]],FIND(".",Table3[[#This Row],[Stage]],1)-1)</f>
        <v>10</v>
      </c>
      <c r="V469" s="139" t="str">
        <f>VLOOKUP(ABS(Table3[[#This Row],[Type]]),[1]!Table9[#All],2)</f>
        <v>Plumbing</v>
      </c>
    </row>
    <row r="470" spans="1:22" x14ac:dyDescent="0.45">
      <c r="A470" s="183">
        <v>44628</v>
      </c>
      <c r="B470" s="143" t="s">
        <v>555</v>
      </c>
      <c r="C470" s="130">
        <v>26.2</v>
      </c>
      <c r="D470" s="186" t="s">
        <v>431</v>
      </c>
      <c r="E470" s="143" t="s">
        <v>440</v>
      </c>
      <c r="F470" s="133"/>
      <c r="G470" s="134">
        <v>1</v>
      </c>
      <c r="H470" s="133">
        <v>3216.48</v>
      </c>
      <c r="I470" s="133">
        <v>562.88</v>
      </c>
      <c r="J470" s="135">
        <f>(Table3[[#This Row],[QTY]]*Table3[[#This Row],[Supplies Cost]])+Table3[[#This Row],[Tax/Fees]]</f>
        <v>3779.36</v>
      </c>
      <c r="K470" s="139"/>
      <c r="L470" s="137" t="s">
        <v>33</v>
      </c>
      <c r="M470" s="139" t="s">
        <v>47</v>
      </c>
      <c r="N470" s="139"/>
      <c r="O470" s="139"/>
      <c r="P470" s="139"/>
      <c r="Q470" s="139"/>
      <c r="R470" s="139">
        <v>26.215</v>
      </c>
      <c r="S470" s="139"/>
      <c r="T470" s="139" t="s">
        <v>433</v>
      </c>
      <c r="U470" s="139" t="str">
        <f>LEFT(Table3[[#This Row],[Stage]],FIND(".",Table3[[#This Row],[Stage]],1)-1)</f>
        <v>26</v>
      </c>
      <c r="V470" s="139" t="str">
        <f>VLOOKUP(ABS(Table3[[#This Row],[Type]]),[1]!Table9[#All],2)</f>
        <v>Painting</v>
      </c>
    </row>
    <row r="471" spans="1:22" s="129" customFormat="1" x14ac:dyDescent="0.45">
      <c r="A471" s="24">
        <v>44629</v>
      </c>
      <c r="B471" s="25" t="s">
        <v>556</v>
      </c>
      <c r="C471" s="57">
        <v>3.06</v>
      </c>
      <c r="D471" s="31" t="s">
        <v>374</v>
      </c>
      <c r="E471" s="25" t="s">
        <v>71</v>
      </c>
      <c r="F471" s="28"/>
      <c r="G471" s="126">
        <v>1</v>
      </c>
      <c r="H471" s="28">
        <v>234.91999999999996</v>
      </c>
      <c r="I471" s="28">
        <f>$I$5*(Table3[[#This Row],[Supplies Cost]]*Table3[[#This Row],[QTY]])</f>
        <v>41.11099999999999</v>
      </c>
      <c r="J471" s="109">
        <f>(Table3[[#This Row],[QTY]]*Table3[[#This Row],[Supplies Cost]])+Table3[[#This Row],[Tax/Fees]]</f>
        <v>276.03099999999995</v>
      </c>
      <c r="K471" s="31"/>
      <c r="L471" s="33" t="s">
        <v>92</v>
      </c>
      <c r="M471" s="31" t="s">
        <v>47</v>
      </c>
      <c r="N471" s="31"/>
      <c r="O471" s="31" t="s">
        <v>557</v>
      </c>
      <c r="P471" s="31"/>
      <c r="Q471" s="31"/>
      <c r="R471" s="31"/>
      <c r="S471" s="31"/>
      <c r="T471" s="31" t="s">
        <v>160</v>
      </c>
      <c r="U471" s="31" t="str">
        <f>LEFT(Table3[[#This Row],[Stage]],FIND(".",Table3[[#This Row],[Stage]],1)-1)</f>
        <v>3</v>
      </c>
      <c r="V471" s="31" t="str">
        <f>VLOOKUP(ABS(Table3[[#This Row],[Type]]),[1]!Table9[#All],2)</f>
        <v>Masonary</v>
      </c>
    </row>
    <row r="472" spans="1:22" x14ac:dyDescent="0.45">
      <c r="A472" s="24">
        <v>44629</v>
      </c>
      <c r="B472" s="56" t="s">
        <v>339</v>
      </c>
      <c r="C472" s="57">
        <v>3.06</v>
      </c>
      <c r="D472" s="31" t="s">
        <v>374</v>
      </c>
      <c r="E472" s="56" t="s">
        <v>71</v>
      </c>
      <c r="F472" s="58"/>
      <c r="G472" s="126">
        <v>20</v>
      </c>
      <c r="H472" s="58">
        <v>15.9</v>
      </c>
      <c r="I472" s="28">
        <f>$I$5*(Table3[[#This Row],[Supplies Cost]]*Table3[[#This Row],[QTY]])</f>
        <v>55.65</v>
      </c>
      <c r="J472" s="109">
        <f>(Table3[[#This Row],[QTY]]*Table3[[#This Row],[Supplies Cost]])+Table3[[#This Row],[Tax/Fees]]</f>
        <v>373.65</v>
      </c>
      <c r="K472" s="31"/>
      <c r="L472" s="33" t="s">
        <v>92</v>
      </c>
      <c r="M472" s="31" t="s">
        <v>47</v>
      </c>
      <c r="N472" s="31"/>
      <c r="O472" s="31" t="s">
        <v>557</v>
      </c>
      <c r="P472" s="31"/>
      <c r="Q472" s="31"/>
      <c r="R472" s="31"/>
      <c r="S472" s="31"/>
      <c r="T472" s="31" t="s">
        <v>160</v>
      </c>
      <c r="U472" s="31" t="str">
        <f>LEFT(Table3[[#This Row],[Stage]],FIND(".",Table3[[#This Row],[Stage]],1)-1)</f>
        <v>3</v>
      </c>
      <c r="V472" s="31" t="str">
        <f>VLOOKUP(ABS(Table3[[#This Row],[Type]]),[1]!Table9[#All],2)</f>
        <v>Masonary</v>
      </c>
    </row>
    <row r="473" spans="1:22" s="129" customFormat="1" x14ac:dyDescent="0.45">
      <c r="A473" s="24">
        <v>44629</v>
      </c>
      <c r="B473" s="56" t="s">
        <v>558</v>
      </c>
      <c r="C473" s="57">
        <v>3.06</v>
      </c>
      <c r="D473" s="31" t="s">
        <v>374</v>
      </c>
      <c r="E473" s="56" t="s">
        <v>71</v>
      </c>
      <c r="F473" s="58"/>
      <c r="G473" s="126">
        <v>20</v>
      </c>
      <c r="H473" s="58">
        <v>1</v>
      </c>
      <c r="I473" s="58">
        <f>$I$5*(Table3[[#This Row],[Supplies Cost]]*Table3[[#This Row],[QTY]])</f>
        <v>3.5</v>
      </c>
      <c r="J473" s="109">
        <f>(Table3[[#This Row],[QTY]]*Table3[[#This Row],[Supplies Cost]])+Table3[[#This Row],[Tax/Fees]]</f>
        <v>23.5</v>
      </c>
      <c r="K473" s="164">
        <v>673.18</v>
      </c>
      <c r="L473" s="154" t="s">
        <v>33</v>
      </c>
      <c r="M473" s="31" t="s">
        <v>47</v>
      </c>
      <c r="N473" s="40"/>
      <c r="O473" s="40" t="s">
        <v>557</v>
      </c>
      <c r="P473" s="40"/>
      <c r="Q473" s="40"/>
      <c r="R473" s="40">
        <v>3.0625</v>
      </c>
      <c r="S473" s="40"/>
      <c r="T473" s="31" t="s">
        <v>160</v>
      </c>
      <c r="U473" s="40" t="str">
        <f>LEFT(Table3[[#This Row],[Stage]],FIND(".",Table3[[#This Row],[Stage]],1)-1)</f>
        <v>3</v>
      </c>
      <c r="V473" s="31" t="str">
        <f>VLOOKUP(ABS(Table3[[#This Row],[Type]]),[1]!Table9[#All],2)</f>
        <v>Masonary</v>
      </c>
    </row>
    <row r="474" spans="1:22" s="129" customFormat="1" x14ac:dyDescent="0.45">
      <c r="A474" s="183">
        <v>44630</v>
      </c>
      <c r="B474" s="132" t="s">
        <v>326</v>
      </c>
      <c r="C474" s="130">
        <v>3.8</v>
      </c>
      <c r="D474" s="138" t="s">
        <v>358</v>
      </c>
      <c r="E474" s="132" t="s">
        <v>108</v>
      </c>
      <c r="F474" s="145"/>
      <c r="G474" s="134">
        <v>1</v>
      </c>
      <c r="H474" s="145">
        <v>911.8</v>
      </c>
      <c r="I474" s="145"/>
      <c r="J474" s="135">
        <f>(Table3[[#This Row],[QTY]]*Table3[[#This Row],[Supplies Cost]])+Table3[[#This Row],[Tax/Fees]]</f>
        <v>911.8</v>
      </c>
      <c r="K474" s="138"/>
      <c r="L474" s="189" t="s">
        <v>33</v>
      </c>
      <c r="M474" s="139" t="s">
        <v>47</v>
      </c>
      <c r="N474" s="138"/>
      <c r="O474" s="138"/>
      <c r="P474" s="138"/>
      <c r="Q474" s="138"/>
      <c r="R474" s="138">
        <v>3.81</v>
      </c>
      <c r="S474" s="138"/>
      <c r="T474" s="138" t="s">
        <v>178</v>
      </c>
      <c r="U474" s="138" t="str">
        <f>LEFT(Table3[[#This Row],[Stage]],FIND(".",Table3[[#This Row],[Stage]],1)-1)</f>
        <v>3</v>
      </c>
      <c r="V474" s="139" t="str">
        <f>VLOOKUP(ABS(Table3[[#This Row],[Type]]),[1]!Table9[#All],2)</f>
        <v>Masonary</v>
      </c>
    </row>
    <row r="475" spans="1:22" x14ac:dyDescent="0.45">
      <c r="A475" s="183">
        <v>44635</v>
      </c>
      <c r="B475" s="143" t="s">
        <v>202</v>
      </c>
      <c r="C475" s="130">
        <v>8.0399999999999991</v>
      </c>
      <c r="D475" s="190" t="s">
        <v>489</v>
      </c>
      <c r="E475" s="143" t="s">
        <v>104</v>
      </c>
      <c r="F475" s="133"/>
      <c r="G475" s="134">
        <v>1</v>
      </c>
      <c r="H475" s="133">
        <v>19.8</v>
      </c>
      <c r="I475" s="133"/>
      <c r="J475" s="135">
        <f>(Table3[[#This Row],[QTY]]*Table3[[#This Row],[Supplies Cost]])+Table3[[#This Row],[Tax/Fees]]</f>
        <v>19.8</v>
      </c>
      <c r="K475" s="139"/>
      <c r="L475" s="137" t="s">
        <v>33</v>
      </c>
      <c r="M475" s="139" t="s">
        <v>47</v>
      </c>
      <c r="N475" s="139"/>
      <c r="O475" s="139"/>
      <c r="P475" s="139"/>
      <c r="Q475" s="139"/>
      <c r="R475" s="139">
        <v>8.0410000000000004</v>
      </c>
      <c r="S475" s="139"/>
      <c r="T475" s="138" t="s">
        <v>60</v>
      </c>
      <c r="U475" s="139" t="str">
        <f>LEFT(Table3[[#This Row],[Stage]],FIND(".",Table3[[#This Row],[Stage]],1)-1)</f>
        <v>8</v>
      </c>
      <c r="V475" s="139" t="str">
        <f>VLOOKUP(ABS(Table3[[#This Row],[Type]]),[1]!Table9[#All],2)</f>
        <v>Administrative</v>
      </c>
    </row>
    <row r="476" spans="1:22" x14ac:dyDescent="0.45">
      <c r="A476" s="183">
        <v>44636</v>
      </c>
      <c r="B476" s="143" t="s">
        <v>559</v>
      </c>
      <c r="C476" s="130">
        <v>5.67</v>
      </c>
      <c r="D476" s="190" t="s">
        <v>489</v>
      </c>
      <c r="E476" s="143" t="s">
        <v>76</v>
      </c>
      <c r="F476" s="133"/>
      <c r="G476" s="134">
        <v>1</v>
      </c>
      <c r="H476" s="133">
        <v>255</v>
      </c>
      <c r="I476" s="133"/>
      <c r="J476" s="135">
        <f>(Table3[[#This Row],[QTY]]*Table3[[#This Row],[Supplies Cost]])+Table3[[#This Row],[Tax/Fees]]</f>
        <v>255</v>
      </c>
      <c r="K476" s="146"/>
      <c r="L476" s="137" t="s">
        <v>33</v>
      </c>
      <c r="M476" s="139" t="s">
        <v>47</v>
      </c>
      <c r="N476" s="139"/>
      <c r="O476" s="139"/>
      <c r="P476" s="139"/>
      <c r="Q476" s="139"/>
      <c r="R476" s="139">
        <v>5.6715</v>
      </c>
      <c r="S476" s="139"/>
      <c r="T476" s="139" t="s">
        <v>160</v>
      </c>
      <c r="U476" s="139" t="str">
        <f>LEFT(Table3[[#This Row],[Stage]],FIND(".",Table3[[#This Row],[Stage]],1)-1)</f>
        <v>5</v>
      </c>
      <c r="V476" s="139" t="str">
        <f>VLOOKUP(ABS(Table3[[#This Row],[Type]]),[1]!Table9[#All],2)</f>
        <v>Earthworks</v>
      </c>
    </row>
    <row r="477" spans="1:22" x14ac:dyDescent="0.45">
      <c r="A477" s="183">
        <v>44637</v>
      </c>
      <c r="B477" s="143" t="s">
        <v>560</v>
      </c>
      <c r="C477" s="191">
        <v>8.0399999999999991</v>
      </c>
      <c r="D477" s="190" t="s">
        <v>45</v>
      </c>
      <c r="E477" s="143" t="s">
        <v>127</v>
      </c>
      <c r="F477" s="133"/>
      <c r="G477" s="134">
        <v>1</v>
      </c>
      <c r="H477" s="133">
        <v>305.5</v>
      </c>
      <c r="I477" s="133"/>
      <c r="J477" s="135">
        <f>(Table3[[#This Row],[QTY]]*Table3[[#This Row],[Supplies Cost]])+Table3[[#This Row],[Tax/Fees]]</f>
        <v>305.5</v>
      </c>
      <c r="K477" s="139"/>
      <c r="L477" s="137" t="s">
        <v>33</v>
      </c>
      <c r="M477" s="139" t="s">
        <v>47</v>
      </c>
      <c r="N477" s="139"/>
      <c r="O477" s="139"/>
      <c r="P477" s="139"/>
      <c r="Q477" s="139"/>
      <c r="R477" s="139">
        <v>8.0425000000000004</v>
      </c>
      <c r="S477" s="139"/>
      <c r="T477" s="139" t="s">
        <v>160</v>
      </c>
      <c r="U477" s="139" t="str">
        <f>LEFT(Table3[[#This Row],[Stage]],FIND(".",Table3[[#This Row],[Stage]],1)-1)</f>
        <v>8</v>
      </c>
      <c r="V477" s="139" t="str">
        <f>VLOOKUP(ABS(Table3[[#This Row],[Type]]),[1]!Table9[#All],2)</f>
        <v>Administrative</v>
      </c>
    </row>
    <row r="478" spans="1:22" x14ac:dyDescent="0.45">
      <c r="A478" s="183">
        <v>44638</v>
      </c>
      <c r="B478" s="143" t="s">
        <v>198</v>
      </c>
      <c r="C478" s="130">
        <v>10.38</v>
      </c>
      <c r="D478" s="139" t="s">
        <v>177</v>
      </c>
      <c r="E478" s="143" t="s">
        <v>69</v>
      </c>
      <c r="F478" s="133"/>
      <c r="G478" s="134">
        <v>1</v>
      </c>
      <c r="H478" s="105">
        <v>127.18</v>
      </c>
      <c r="I478" s="133"/>
      <c r="J478" s="135">
        <f>(Table3[[#This Row],[QTY]]*Table3[[#This Row],[Supplies Cost]])+Table3[[#This Row],[Tax/Fees]]</f>
        <v>127.18</v>
      </c>
      <c r="K478" s="139"/>
      <c r="L478" s="137" t="s">
        <v>92</v>
      </c>
      <c r="M478" s="139" t="s">
        <v>47</v>
      </c>
      <c r="N478" s="139"/>
      <c r="O478" s="139" t="s">
        <v>561</v>
      </c>
      <c r="P478" s="139"/>
      <c r="Q478" s="139"/>
      <c r="R478" s="139"/>
      <c r="S478" s="139"/>
      <c r="T478" s="139"/>
      <c r="U478" s="139" t="str">
        <f>LEFT(Table3[[#This Row],[Stage]],FIND(".",Table3[[#This Row],[Stage]],1)-1)</f>
        <v>10</v>
      </c>
      <c r="V478" s="139" t="str">
        <f>VLOOKUP(ABS(Table3[[#This Row],[Type]]),[1]!Table9[#All],2)</f>
        <v>Plumbing</v>
      </c>
    </row>
    <row r="479" spans="1:22" x14ac:dyDescent="0.45">
      <c r="A479" s="183">
        <v>44638</v>
      </c>
      <c r="B479" s="143" t="s">
        <v>339</v>
      </c>
      <c r="C479" s="130">
        <v>7.8</v>
      </c>
      <c r="D479" s="190" t="s">
        <v>431</v>
      </c>
      <c r="E479" s="143" t="s">
        <v>71</v>
      </c>
      <c r="F479" s="133"/>
      <c r="G479" s="134">
        <v>1</v>
      </c>
      <c r="H479" s="133">
        <v>397.15</v>
      </c>
      <c r="I479" s="133"/>
      <c r="J479" s="135">
        <f>(Table3[[#This Row],[QTY]]*Table3[[#This Row],[Supplies Cost]])+Table3[[#This Row],[Tax/Fees]]</f>
        <v>397.15</v>
      </c>
      <c r="K479" s="139"/>
      <c r="L479" s="137" t="s">
        <v>33</v>
      </c>
      <c r="M479" s="139" t="s">
        <v>47</v>
      </c>
      <c r="N479" s="139"/>
      <c r="O479" s="139"/>
      <c r="P479" s="139"/>
      <c r="Q479" s="139"/>
      <c r="R479" s="139">
        <v>7.89</v>
      </c>
      <c r="S479" s="139"/>
      <c r="T479" s="139" t="s">
        <v>160</v>
      </c>
      <c r="U479" s="139" t="str">
        <f>LEFT(Table3[[#This Row],[Stage]],FIND(".",Table3[[#This Row],[Stage]],1)-1)</f>
        <v>7</v>
      </c>
      <c r="V479" s="139" t="str">
        <f>VLOOKUP(ABS(Table3[[#This Row],[Type]]),[1]!Table9[#All],2)</f>
        <v>Carpentry</v>
      </c>
    </row>
    <row r="480" spans="1:22" x14ac:dyDescent="0.45">
      <c r="A480" s="183">
        <v>44638</v>
      </c>
      <c r="B480" s="143" t="s">
        <v>201</v>
      </c>
      <c r="C480" s="130">
        <v>7.8</v>
      </c>
      <c r="D480" s="142" t="s">
        <v>431</v>
      </c>
      <c r="E480" s="143" t="s">
        <v>69</v>
      </c>
      <c r="F480" s="133"/>
      <c r="G480" s="140">
        <v>1</v>
      </c>
      <c r="H480" s="105">
        <v>691.3</v>
      </c>
      <c r="I480" s="133"/>
      <c r="J480" s="135">
        <f>(Table3[[#This Row],[QTY]]*Table3[[#This Row],[Supplies Cost]])+Table3[[#This Row],[Tax/Fees]]</f>
        <v>691.3</v>
      </c>
      <c r="K480" s="139"/>
      <c r="L480" s="137" t="s">
        <v>92</v>
      </c>
      <c r="M480" s="139" t="s">
        <v>47</v>
      </c>
      <c r="N480" s="139"/>
      <c r="O480" s="139" t="s">
        <v>561</v>
      </c>
      <c r="P480" s="139"/>
      <c r="Q480" s="139"/>
      <c r="R480" s="139"/>
      <c r="S480" s="139"/>
      <c r="T480" s="139"/>
      <c r="U480" s="139" t="str">
        <f>LEFT(Table3[[#This Row],[Stage]],FIND(".",Table3[[#This Row],[Stage]],1)-1)</f>
        <v>7</v>
      </c>
      <c r="V480" s="139" t="str">
        <f>VLOOKUP(ABS(Table3[[#This Row],[Type]]),[1]!Table9[#All],2)</f>
        <v>Carpentry</v>
      </c>
    </row>
    <row r="481" spans="1:22" x14ac:dyDescent="0.45">
      <c r="A481" s="183">
        <v>44638</v>
      </c>
      <c r="B481" s="129" t="s">
        <v>201</v>
      </c>
      <c r="C481" s="192">
        <v>7.8</v>
      </c>
      <c r="D481" s="190" t="s">
        <v>431</v>
      </c>
      <c r="E481" s="129" t="s">
        <v>69</v>
      </c>
      <c r="F481" s="133"/>
      <c r="G481" s="193">
        <v>1</v>
      </c>
      <c r="H481" s="105">
        <v>22.67</v>
      </c>
      <c r="I481" s="133"/>
      <c r="J481" s="135">
        <f>(Table3[[#This Row],[QTY]]*Table3[[#This Row],[Supplies Cost]])+Table3[[#This Row],[Tax/Fees]]</f>
        <v>22.67</v>
      </c>
      <c r="K481" s="136"/>
      <c r="L481" s="136" t="s">
        <v>92</v>
      </c>
      <c r="M481" s="186" t="s">
        <v>47</v>
      </c>
      <c r="N481" s="139"/>
      <c r="O481" s="139" t="s">
        <v>561</v>
      </c>
      <c r="P481" s="139"/>
      <c r="Q481" s="139"/>
      <c r="R481" s="139"/>
      <c r="S481" s="139"/>
      <c r="T481" s="139"/>
      <c r="U481" s="139" t="str">
        <f>LEFT(Table3[[#This Row],[Stage]],FIND(".",Table3[[#This Row],[Stage]],1)-1)</f>
        <v>7</v>
      </c>
      <c r="V481" s="139" t="str">
        <f>VLOOKUP(ABS(Table3[[#This Row],[Type]]),[1]!Table9[#All],2)</f>
        <v>Carpentry</v>
      </c>
    </row>
    <row r="482" spans="1:22" x14ac:dyDescent="0.45">
      <c r="A482" s="183">
        <v>44638</v>
      </c>
      <c r="B482" s="129" t="s">
        <v>201</v>
      </c>
      <c r="C482" s="141">
        <v>7.8</v>
      </c>
      <c r="D482" s="190" t="s">
        <v>431</v>
      </c>
      <c r="E482" s="129" t="s">
        <v>69</v>
      </c>
      <c r="F482" s="133"/>
      <c r="G482" s="193">
        <v>1</v>
      </c>
      <c r="H482" s="105">
        <v>376</v>
      </c>
      <c r="I482" s="133"/>
      <c r="J482" s="135">
        <f>(Table3[[#This Row],[QTY]]*Table3[[#This Row],[Supplies Cost]])+Table3[[#This Row],[Tax/Fees]]</f>
        <v>376</v>
      </c>
      <c r="K482" s="136"/>
      <c r="L482" s="136" t="s">
        <v>92</v>
      </c>
      <c r="M482" s="186" t="s">
        <v>47</v>
      </c>
      <c r="N482" s="139"/>
      <c r="O482" s="139" t="s">
        <v>561</v>
      </c>
      <c r="P482" s="139"/>
      <c r="Q482" s="139"/>
      <c r="R482" s="139"/>
      <c r="S482" s="139"/>
      <c r="T482" s="139"/>
      <c r="U482" s="139" t="str">
        <f>LEFT(Table3[[#This Row],[Stage]],FIND(".",Table3[[#This Row],[Stage]],1)-1)</f>
        <v>7</v>
      </c>
      <c r="V482" s="139" t="str">
        <f>VLOOKUP(ABS(Table3[[#This Row],[Type]]),[1]!Table9[#All],2)</f>
        <v>Carpentry</v>
      </c>
    </row>
    <row r="483" spans="1:22" x14ac:dyDescent="0.45">
      <c r="A483" s="183">
        <v>44638</v>
      </c>
      <c r="B483" s="129" t="s">
        <v>201</v>
      </c>
      <c r="C483" s="130">
        <v>7.8</v>
      </c>
      <c r="D483" s="142" t="s">
        <v>431</v>
      </c>
      <c r="E483" s="129" t="s">
        <v>69</v>
      </c>
      <c r="F483" s="133"/>
      <c r="G483" s="193">
        <v>1</v>
      </c>
      <c r="H483" s="105">
        <v>159.81</v>
      </c>
      <c r="I483" s="133"/>
      <c r="J483" s="135">
        <f>(Table3[[#This Row],[QTY]]*Table3[[#This Row],[Supplies Cost]])+Table3[[#This Row],[Tax/Fees]]</f>
        <v>159.81</v>
      </c>
      <c r="K483" s="136"/>
      <c r="L483" s="136" t="s">
        <v>92</v>
      </c>
      <c r="M483" s="186" t="s">
        <v>47</v>
      </c>
      <c r="N483" s="139"/>
      <c r="O483" s="139" t="s">
        <v>561</v>
      </c>
      <c r="P483" s="139"/>
      <c r="Q483" s="139"/>
      <c r="R483" s="139"/>
      <c r="S483" s="139"/>
      <c r="T483" s="139"/>
      <c r="U483" s="139" t="str">
        <f>LEFT(Table3[[#This Row],[Stage]],FIND(".",Table3[[#This Row],[Stage]],1)-1)</f>
        <v>7</v>
      </c>
      <c r="V483" s="139" t="str">
        <f>VLOOKUP(ABS(Table3[[#This Row],[Type]]),[1]!Table9[#All],2)</f>
        <v>Carpentry</v>
      </c>
    </row>
    <row r="484" spans="1:22" s="129" customFormat="1" x14ac:dyDescent="0.45">
      <c r="A484" s="183">
        <v>44638</v>
      </c>
      <c r="B484" s="129" t="s">
        <v>201</v>
      </c>
      <c r="C484" s="130">
        <v>7.8</v>
      </c>
      <c r="D484" s="142" t="s">
        <v>431</v>
      </c>
      <c r="E484" s="129" t="s">
        <v>69</v>
      </c>
      <c r="F484" s="133"/>
      <c r="G484" s="193">
        <v>1</v>
      </c>
      <c r="H484" s="105">
        <v>89.9</v>
      </c>
      <c r="I484" s="133"/>
      <c r="J484" s="135">
        <f>(Table3[[#This Row],[QTY]]*Table3[[#This Row],[Supplies Cost]])+Table3[[#This Row],[Tax/Fees]]</f>
        <v>89.9</v>
      </c>
      <c r="K484" s="147">
        <v>1466.86</v>
      </c>
      <c r="L484" s="136" t="s">
        <v>33</v>
      </c>
      <c r="M484" s="186" t="s">
        <v>47</v>
      </c>
      <c r="N484" s="139"/>
      <c r="O484" s="139" t="s">
        <v>561</v>
      </c>
      <c r="P484" s="139"/>
      <c r="Q484" s="139"/>
      <c r="R484" s="139">
        <v>7.8120000000000003</v>
      </c>
      <c r="S484" s="139"/>
      <c r="T484" s="139"/>
      <c r="U484" s="139" t="str">
        <f>LEFT(Table3[[#This Row],[Stage]],FIND(".",Table3[[#This Row],[Stage]],1)-1)</f>
        <v>7</v>
      </c>
      <c r="V484" s="139" t="str">
        <f>VLOOKUP(ABS(Table3[[#This Row],[Type]]),[1]!Table9[#All],2)</f>
        <v>Carpentry</v>
      </c>
    </row>
    <row r="485" spans="1:22" x14ac:dyDescent="0.45">
      <c r="A485" s="24">
        <v>44639</v>
      </c>
      <c r="B485" s="194" t="s">
        <v>562</v>
      </c>
      <c r="C485" s="195">
        <v>5.44</v>
      </c>
      <c r="D485" s="27" t="s">
        <v>45</v>
      </c>
      <c r="E485" s="25" t="s">
        <v>67</v>
      </c>
      <c r="F485" s="70"/>
      <c r="G485" s="196">
        <v>1</v>
      </c>
      <c r="H485" s="70">
        <v>640</v>
      </c>
      <c r="I485" s="70"/>
      <c r="J485" s="109">
        <f>(Table3[[#This Row],[QTY]]*Table3[[#This Row],[Supplies Cost]])+Table3[[#This Row],[Tax/Fees]]</f>
        <v>640</v>
      </c>
      <c r="L485" s="4" t="s">
        <v>33</v>
      </c>
      <c r="M485" s="111" t="s">
        <v>77</v>
      </c>
      <c r="N485" s="31"/>
      <c r="O485" s="72"/>
      <c r="P485" s="31"/>
      <c r="Q485" s="31"/>
      <c r="R485" s="31">
        <v>5.44245</v>
      </c>
      <c r="S485" s="72"/>
      <c r="T485" s="31" t="s">
        <v>98</v>
      </c>
      <c r="U485" s="31" t="str">
        <f>LEFT(Table3[[#This Row],[Stage]],FIND(".",Table3[[#This Row],[Stage]],1)-1)</f>
        <v>5</v>
      </c>
      <c r="V485" s="31" t="str">
        <f>VLOOKUP(ABS(Table3[[#This Row],[Type]]),[1]!Table9[#All],2)</f>
        <v>Earthworks</v>
      </c>
    </row>
    <row r="486" spans="1:22" x14ac:dyDescent="0.45">
      <c r="A486" s="183">
        <v>44640</v>
      </c>
      <c r="B486" s="129" t="s">
        <v>563</v>
      </c>
      <c r="C486" s="130">
        <v>3.7</v>
      </c>
      <c r="D486" s="186" t="s">
        <v>351</v>
      </c>
      <c r="E486" s="129" t="s">
        <v>352</v>
      </c>
      <c r="F486" s="145"/>
      <c r="G486" s="134">
        <v>1</v>
      </c>
      <c r="H486" s="133">
        <v>999.43</v>
      </c>
      <c r="I486" s="133"/>
      <c r="J486" s="135">
        <f>(Table3[[#This Row],[QTY]]*Table3[[#This Row],[Supplies Cost]])+Table3[[#This Row],[Tax/Fees]]</f>
        <v>999.43</v>
      </c>
      <c r="K486" s="136"/>
      <c r="L486" s="136" t="s">
        <v>33</v>
      </c>
      <c r="M486" s="186" t="s">
        <v>47</v>
      </c>
      <c r="N486" s="139"/>
      <c r="O486" s="139"/>
      <c r="P486" s="139"/>
      <c r="Q486" s="139"/>
      <c r="R486" s="139">
        <v>3.73</v>
      </c>
      <c r="S486" s="139"/>
      <c r="T486" s="138" t="s">
        <v>354</v>
      </c>
      <c r="U486" s="139" t="str">
        <f>LEFT(Table3[[#This Row],[Stage]],FIND(".",Table3[[#This Row],[Stage]],1)-1)</f>
        <v>3</v>
      </c>
      <c r="V486" s="139" t="str">
        <f>VLOOKUP(ABS(Table3[[#This Row],[Type]]),[1]!Table9[#All],2)</f>
        <v>Masonary</v>
      </c>
    </row>
    <row r="487" spans="1:22" s="129" customFormat="1" x14ac:dyDescent="0.45">
      <c r="A487" s="183">
        <v>44642</v>
      </c>
      <c r="B487" s="143" t="s">
        <v>564</v>
      </c>
      <c r="C487" s="141">
        <v>3.1</v>
      </c>
      <c r="D487" s="142" t="s">
        <v>489</v>
      </c>
      <c r="E487" s="143" t="s">
        <v>239</v>
      </c>
      <c r="F487" s="133"/>
      <c r="G487" s="134">
        <v>1</v>
      </c>
      <c r="H487" s="133">
        <v>1190</v>
      </c>
      <c r="I487" s="133"/>
      <c r="J487" s="135">
        <f>(Table3[[#This Row],[QTY]]*Table3[[#This Row],[Supplies Cost]])+Table3[[#This Row],[Tax/Fees]]</f>
        <v>1190</v>
      </c>
      <c r="K487" s="136"/>
      <c r="L487" s="136" t="s">
        <v>33</v>
      </c>
      <c r="M487" s="186" t="s">
        <v>47</v>
      </c>
      <c r="N487" s="139"/>
      <c r="O487" s="186"/>
      <c r="P487" s="139"/>
      <c r="Q487" s="139"/>
      <c r="R487" s="139">
        <v>3.125</v>
      </c>
      <c r="S487" s="139"/>
      <c r="T487" s="138" t="s">
        <v>160</v>
      </c>
      <c r="U487" s="139" t="str">
        <f>LEFT(Table3[[#This Row],[Stage]],FIND(".",Table3[[#This Row],[Stage]],1)-1)</f>
        <v>3</v>
      </c>
      <c r="V487" s="139" t="str">
        <f>VLOOKUP(ABS(Table3[[#This Row],[Type]]),[1]!Table9[#All],2)</f>
        <v>Masonary</v>
      </c>
    </row>
    <row r="488" spans="1:22" s="129" customFormat="1" x14ac:dyDescent="0.45">
      <c r="A488" s="183">
        <v>44642</v>
      </c>
      <c r="B488" s="143" t="s">
        <v>565</v>
      </c>
      <c r="C488" s="197">
        <v>8.0299999999999994</v>
      </c>
      <c r="D488" s="139" t="s">
        <v>144</v>
      </c>
      <c r="E488" s="143" t="s">
        <v>46</v>
      </c>
      <c r="F488" s="133"/>
      <c r="G488" s="134">
        <v>1</v>
      </c>
      <c r="H488" s="133">
        <v>74</v>
      </c>
      <c r="I488" s="133"/>
      <c r="J488" s="135">
        <f>(Table3[[#This Row],[QTY]]*Table3[[#This Row],[Supplies Cost]])+Table3[[#This Row],[Tax/Fees]]</f>
        <v>74</v>
      </c>
      <c r="K488" s="136"/>
      <c r="L488" s="136" t="s">
        <v>33</v>
      </c>
      <c r="M488" s="186" t="s">
        <v>77</v>
      </c>
      <c r="N488" s="139"/>
      <c r="O488" s="186"/>
      <c r="P488" s="139"/>
      <c r="Q488" s="139"/>
      <c r="R488" s="139">
        <v>8.032</v>
      </c>
      <c r="S488" s="139"/>
      <c r="T488" s="138" t="s">
        <v>60</v>
      </c>
      <c r="U488" s="139" t="str">
        <f>LEFT(Table3[[#This Row],[Stage]],FIND(".",Table3[[#This Row],[Stage]],1)-1)</f>
        <v>8</v>
      </c>
      <c r="V488" s="139" t="str">
        <f>VLOOKUP(ABS(Table3[[#This Row],[Type]]),[1]!Table9[#All],2)</f>
        <v>Administrative</v>
      </c>
    </row>
    <row r="489" spans="1:22" s="129" customFormat="1" x14ac:dyDescent="0.45">
      <c r="A489" s="183">
        <v>44643</v>
      </c>
      <c r="B489" s="143" t="s">
        <v>566</v>
      </c>
      <c r="C489" s="143">
        <v>25.1</v>
      </c>
      <c r="D489" s="142" t="s">
        <v>431</v>
      </c>
      <c r="E489" s="143" t="s">
        <v>567</v>
      </c>
      <c r="F489" s="133"/>
      <c r="G489" s="134">
        <v>1</v>
      </c>
      <c r="H489" s="133">
        <v>339.8</v>
      </c>
      <c r="I489" s="133"/>
      <c r="J489" s="135">
        <f>(Table3[[#This Row],[QTY]]*Table3[[#This Row],[Supplies Cost]])+Table3[[#This Row],[Tax/Fees]]</f>
        <v>339.8</v>
      </c>
      <c r="K489" s="136"/>
      <c r="L489" s="136" t="s">
        <v>33</v>
      </c>
      <c r="M489" s="186" t="s">
        <v>47</v>
      </c>
      <c r="N489" s="139"/>
      <c r="O489" s="186"/>
      <c r="P489" s="139"/>
      <c r="Q489" s="139"/>
      <c r="R489" s="139">
        <v>25.164999999999999</v>
      </c>
      <c r="S489" s="139"/>
      <c r="T489" s="31" t="s">
        <v>568</v>
      </c>
      <c r="U489" s="139" t="str">
        <f>LEFT(Table3[[#This Row],[Stage]],FIND(".",Table3[[#This Row],[Stage]],1)-1)</f>
        <v>25</v>
      </c>
      <c r="V489" s="139" t="str">
        <f>VLOOKUP(ABS(Table3[[#This Row],[Type]]),[1]!Table9[#All],2)</f>
        <v>Tiling</v>
      </c>
    </row>
    <row r="490" spans="1:22" x14ac:dyDescent="0.45">
      <c r="A490" s="183">
        <v>44643</v>
      </c>
      <c r="B490" s="143" t="s">
        <v>569</v>
      </c>
      <c r="C490" s="143">
        <v>25.1</v>
      </c>
      <c r="D490" s="142" t="s">
        <v>431</v>
      </c>
      <c r="E490" s="143" t="s">
        <v>567</v>
      </c>
      <c r="F490" s="133"/>
      <c r="G490" s="134">
        <v>1</v>
      </c>
      <c r="H490" s="133">
        <v>4787.2</v>
      </c>
      <c r="I490" s="133"/>
      <c r="J490" s="135">
        <f>(Table3[[#This Row],[QTY]]*Table3[[#This Row],[Supplies Cost]])+Table3[[#This Row],[Tax/Fees]]</f>
        <v>4787.2</v>
      </c>
      <c r="K490" s="136"/>
      <c r="L490" s="136" t="s">
        <v>33</v>
      </c>
      <c r="M490" s="186" t="s">
        <v>47</v>
      </c>
      <c r="N490" s="139"/>
      <c r="O490" s="186"/>
      <c r="P490" s="139"/>
      <c r="Q490" s="139"/>
      <c r="R490" s="139">
        <v>25.17</v>
      </c>
      <c r="S490" s="139"/>
      <c r="T490" s="31" t="s">
        <v>568</v>
      </c>
      <c r="U490" s="139" t="str">
        <f>LEFT(Table3[[#This Row],[Stage]],FIND(".",Table3[[#This Row],[Stage]],1)-1)</f>
        <v>25</v>
      </c>
      <c r="V490" s="139" t="str">
        <f>VLOOKUP(ABS(Table3[[#This Row],[Type]]),[1]!Table9[#All],2)</f>
        <v>Tiling</v>
      </c>
    </row>
    <row r="491" spans="1:22" x14ac:dyDescent="0.45">
      <c r="A491" s="198">
        <v>44644</v>
      </c>
      <c r="B491" s="143" t="s">
        <v>570</v>
      </c>
      <c r="C491" s="132">
        <v>25.1</v>
      </c>
      <c r="D491" s="131" t="s">
        <v>431</v>
      </c>
      <c r="E491" s="132" t="s">
        <v>71</v>
      </c>
      <c r="F491" s="133"/>
      <c r="G491" s="134">
        <v>1</v>
      </c>
      <c r="H491" s="145">
        <v>1237.6500000000001</v>
      </c>
      <c r="I491" s="145"/>
      <c r="J491" s="135">
        <f>(Table3[[#This Row],[QTY]]*Table3[[#This Row],[Supplies Cost]])+Table3[[#This Row],[Tax/Fees]]</f>
        <v>1237.6500000000001</v>
      </c>
      <c r="K491" s="136"/>
      <c r="L491" s="136" t="s">
        <v>33</v>
      </c>
      <c r="M491" s="139" t="s">
        <v>47</v>
      </c>
      <c r="N491" s="138"/>
      <c r="O491" s="186" t="s">
        <v>571</v>
      </c>
      <c r="P491" s="138"/>
      <c r="Q491" s="138"/>
      <c r="R491" s="138">
        <v>25.175000000000001</v>
      </c>
      <c r="S491" s="138"/>
      <c r="T491" s="40" t="s">
        <v>568</v>
      </c>
      <c r="U491" s="138" t="str">
        <f>LEFT(Table3[[#This Row],[Stage]],FIND(".",Table3[[#This Row],[Stage]],1)-1)</f>
        <v>25</v>
      </c>
      <c r="V491" s="138" t="str">
        <f>VLOOKUP(ABS(Table3[[#This Row],[Type]]),[1]!Table9[#All],2)</f>
        <v>Tiling</v>
      </c>
    </row>
    <row r="492" spans="1:22" x14ac:dyDescent="0.45">
      <c r="A492" s="198">
        <v>44644</v>
      </c>
      <c r="B492" s="199" t="s">
        <v>572</v>
      </c>
      <c r="C492" s="141">
        <v>7.9</v>
      </c>
      <c r="D492" s="142" t="s">
        <v>399</v>
      </c>
      <c r="E492" s="143" t="s">
        <v>219</v>
      </c>
      <c r="F492" s="133"/>
      <c r="G492" s="200">
        <v>1</v>
      </c>
      <c r="H492" s="145">
        <v>603.92999999999995</v>
      </c>
      <c r="I492" s="145"/>
      <c r="J492" s="135">
        <f>(Table3[[#This Row],[QTY]]*Table3[[#This Row],[Supplies Cost]])+Table3[[#This Row],[Tax/Fees]]</f>
        <v>603.92999999999995</v>
      </c>
      <c r="K492" s="136"/>
      <c r="L492" s="136" t="s">
        <v>33</v>
      </c>
      <c r="M492" s="186" t="s">
        <v>47</v>
      </c>
      <c r="N492" s="138"/>
      <c r="O492" s="138"/>
      <c r="P492" s="138"/>
      <c r="Q492" s="138"/>
      <c r="R492" s="138">
        <v>7.98</v>
      </c>
      <c r="S492" s="138"/>
      <c r="T492" s="138" t="s">
        <v>280</v>
      </c>
      <c r="U492" s="138" t="str">
        <f>LEFT(Table3[[#This Row],[Stage]],FIND(".",Table3[[#This Row],[Stage]],1)-1)</f>
        <v>7</v>
      </c>
      <c r="V492" s="138" t="str">
        <f>VLOOKUP(ABS(Table3[[#This Row],[Type]]),[1]!Table9[#All],2)</f>
        <v>Carpentry</v>
      </c>
    </row>
    <row r="493" spans="1:22" x14ac:dyDescent="0.45">
      <c r="A493" s="55">
        <v>44645</v>
      </c>
      <c r="B493" s="25" t="s">
        <v>573</v>
      </c>
      <c r="C493" s="34">
        <v>7.9</v>
      </c>
      <c r="D493" s="31" t="s">
        <v>399</v>
      </c>
      <c r="E493" s="25" t="s">
        <v>116</v>
      </c>
      <c r="F493" s="28"/>
      <c r="G493" s="201">
        <v>1</v>
      </c>
      <c r="H493" s="58">
        <v>1102.1600000000001</v>
      </c>
      <c r="I493" s="58"/>
      <c r="J493" s="109">
        <f>(Table3[[#This Row],[QTY]]*Table3[[#This Row],[Supplies Cost]])+Table3[[#This Row],[Tax/Fees]]</f>
        <v>1102.1600000000001</v>
      </c>
      <c r="L493" s="4" t="s">
        <v>33</v>
      </c>
      <c r="M493" s="1" t="s">
        <v>77</v>
      </c>
      <c r="N493" s="40"/>
      <c r="O493" s="40"/>
      <c r="P493" s="40"/>
      <c r="Q493" s="40"/>
      <c r="R493" s="40">
        <v>7.9850000000000003</v>
      </c>
      <c r="S493" s="40"/>
      <c r="T493" s="40" t="s">
        <v>433</v>
      </c>
      <c r="U493" s="40" t="str">
        <f>LEFT(Table3[[#This Row],[Stage]],FIND(".",Table3[[#This Row],[Stage]],1)-1)</f>
        <v>7</v>
      </c>
      <c r="V493" s="40" t="str">
        <f>VLOOKUP(ABS(Table3[[#This Row],[Type]]),[1]!Table9[#All],2)</f>
        <v>Carpentry</v>
      </c>
    </row>
    <row r="494" spans="1:22" x14ac:dyDescent="0.45">
      <c r="A494" s="55">
        <v>44645</v>
      </c>
      <c r="B494" t="s">
        <v>574</v>
      </c>
      <c r="C494" s="34">
        <v>1.1100000000000001</v>
      </c>
      <c r="D494" s="27" t="s">
        <v>122</v>
      </c>
      <c r="E494" s="25" t="s">
        <v>123</v>
      </c>
      <c r="F494" s="202"/>
      <c r="G494" s="149">
        <v>1</v>
      </c>
      <c r="H494" s="58">
        <v>50000</v>
      </c>
      <c r="I494" s="58">
        <v>-156.25</v>
      </c>
      <c r="J494" s="109">
        <f>(Table3[[#This Row],[QTY]]*Table3[[#This Row],[Supplies Cost]])+Table3[[#This Row],[Tax/Fees]]</f>
        <v>49843.75</v>
      </c>
      <c r="L494" s="4" t="s">
        <v>33</v>
      </c>
      <c r="M494" s="1" t="s">
        <v>124</v>
      </c>
      <c r="N494" s="40"/>
      <c r="O494" s="40"/>
      <c r="P494" s="40"/>
      <c r="Q494" s="40"/>
      <c r="R494" s="40"/>
      <c r="S494" s="40"/>
      <c r="T494" s="40" t="s">
        <v>60</v>
      </c>
      <c r="U494" s="40" t="str">
        <f>LEFT(Table3[[#This Row],[Stage]],FIND(".",Table3[[#This Row],[Stage]],1)-1)</f>
        <v>1</v>
      </c>
      <c r="V494" s="40" t="str">
        <f>VLOOKUP(ABS(Table3[[#This Row],[Type]]),[1]!Table9[#All],2)</f>
        <v>Transfers</v>
      </c>
    </row>
    <row r="495" spans="1:22" x14ac:dyDescent="0.45">
      <c r="A495" s="55">
        <v>44650</v>
      </c>
      <c r="B495" t="s">
        <v>147</v>
      </c>
      <c r="C495" s="34">
        <v>13.4</v>
      </c>
      <c r="D495" s="27" t="s">
        <v>399</v>
      </c>
      <c r="E495" t="s">
        <v>575</v>
      </c>
      <c r="F495" s="58"/>
      <c r="G495" s="201">
        <v>1</v>
      </c>
      <c r="H495" s="58">
        <v>5738.18</v>
      </c>
      <c r="I495" s="58">
        <v>1004.18</v>
      </c>
      <c r="J495" s="109">
        <f>(Table3[[#This Row],[QTY]]*Table3[[#This Row],[Supplies Cost]])+Table3[[#This Row],[Tax/Fees]]</f>
        <v>6742.3600000000006</v>
      </c>
      <c r="L495" s="4" t="s">
        <v>33</v>
      </c>
      <c r="M495" s="1" t="s">
        <v>47</v>
      </c>
      <c r="N495" s="40"/>
      <c r="O495" s="40"/>
      <c r="P495" s="40"/>
      <c r="Q495" s="40"/>
      <c r="R495" s="40">
        <v>13.41</v>
      </c>
      <c r="S495" s="40"/>
      <c r="T495" s="40" t="s">
        <v>53</v>
      </c>
      <c r="U495" s="40" t="str">
        <f>LEFT(Table3[[#This Row],[Stage]],FIND(".",Table3[[#This Row],[Stage]],1)-1)</f>
        <v>13</v>
      </c>
      <c r="V495" s="40" t="str">
        <f>VLOOKUP(ABS(Table3[[#This Row],[Type]]),[1]!Table9[#All],2)</f>
        <v>Electrical</v>
      </c>
    </row>
    <row r="496" spans="1:22" x14ac:dyDescent="0.45">
      <c r="A496" s="55">
        <v>44652</v>
      </c>
      <c r="B496" t="s">
        <v>576</v>
      </c>
      <c r="C496" s="94">
        <v>7.95</v>
      </c>
      <c r="D496" s="31" t="s">
        <v>374</v>
      </c>
      <c r="E496" t="s">
        <v>82</v>
      </c>
      <c r="F496" s="58"/>
      <c r="G496" s="201">
        <v>1</v>
      </c>
      <c r="H496" s="58">
        <v>71.239999999999995</v>
      </c>
      <c r="I496" s="58"/>
      <c r="J496" s="109">
        <f>(Table3[[#This Row],[QTY]]*Table3[[#This Row],[Supplies Cost]])+Table3[[#This Row],[Tax/Fees]]</f>
        <v>71.239999999999995</v>
      </c>
      <c r="L496" s="4" t="s">
        <v>33</v>
      </c>
      <c r="M496" s="1" t="s">
        <v>47</v>
      </c>
      <c r="N496" s="40"/>
      <c r="O496" s="40"/>
      <c r="P496" s="40"/>
      <c r="Q496" s="40"/>
      <c r="R496" s="40">
        <v>7.9515000000000002</v>
      </c>
      <c r="S496" s="40"/>
      <c r="T496" s="40" t="s">
        <v>280</v>
      </c>
      <c r="U496" s="40" t="str">
        <f>LEFT(Table3[[#This Row],[Stage]],FIND(".",Table3[[#This Row],[Stage]],1)-1)</f>
        <v>7</v>
      </c>
      <c r="V496" s="40" t="str">
        <f>VLOOKUP(ABS(Table3[[#This Row],[Type]]),[1]!Table9[#All],2)</f>
        <v>Carpentry</v>
      </c>
    </row>
    <row r="497" spans="1:22" x14ac:dyDescent="0.45">
      <c r="A497" s="55">
        <v>44653</v>
      </c>
      <c r="B497" t="s">
        <v>577</v>
      </c>
      <c r="C497" s="34">
        <v>3.8</v>
      </c>
      <c r="D497" s="31" t="s">
        <v>358</v>
      </c>
      <c r="E497" t="s">
        <v>71</v>
      </c>
      <c r="F497" s="28"/>
      <c r="G497" s="201">
        <v>1</v>
      </c>
      <c r="H497" s="28">
        <f>22.48+314.78</f>
        <v>337.26</v>
      </c>
      <c r="I497" s="28">
        <f>Table3[[#This Row],[Supplies Cost]]*$I$5</f>
        <v>59.020499999999991</v>
      </c>
      <c r="J497" s="109">
        <f>(Table3[[#This Row],[QTY]]*Table3[[#This Row],[Supplies Cost]])+Table3[[#This Row],[Tax/Fees]]</f>
        <v>396.28049999999996</v>
      </c>
      <c r="K497" s="203">
        <v>958.05</v>
      </c>
      <c r="L497" s="4" t="s">
        <v>33</v>
      </c>
      <c r="M497" s="1" t="s">
        <v>47</v>
      </c>
      <c r="N497" s="31"/>
      <c r="O497" s="31">
        <v>810040778</v>
      </c>
      <c r="P497" s="31"/>
      <c r="Q497" s="31"/>
      <c r="R497" s="31">
        <v>3.8149999999999999</v>
      </c>
      <c r="S497" s="31"/>
      <c r="T497" s="31" t="s">
        <v>160</v>
      </c>
      <c r="U497" s="31" t="str">
        <f>LEFT(Table3[[#This Row],[Stage]],FIND(".",Table3[[#This Row],[Stage]],1)-1)</f>
        <v>3</v>
      </c>
      <c r="V497" s="31" t="str">
        <f>VLOOKUP(ABS(Table3[[#This Row],[Type]]),[1]!Table9[#All],2)</f>
        <v>Masonary</v>
      </c>
    </row>
    <row r="498" spans="1:22" x14ac:dyDescent="0.45">
      <c r="A498" s="55">
        <v>44653</v>
      </c>
      <c r="B498" t="s">
        <v>577</v>
      </c>
      <c r="C498" s="34">
        <v>3.8</v>
      </c>
      <c r="D498" s="31" t="s">
        <v>358</v>
      </c>
      <c r="E498" t="s">
        <v>71</v>
      </c>
      <c r="F498" s="28"/>
      <c r="G498" s="201">
        <v>1</v>
      </c>
      <c r="H498" s="28">
        <v>4.8099999999999996</v>
      </c>
      <c r="I498" s="28"/>
      <c r="J498" s="109">
        <f>(Table3[[#This Row],[QTY]]*Table3[[#This Row],[Supplies Cost]])+Table3[[#This Row],[Tax/Fees]]</f>
        <v>4.8099999999999996</v>
      </c>
      <c r="L498" s="4" t="s">
        <v>33</v>
      </c>
      <c r="M498" s="1" t="s">
        <v>47</v>
      </c>
      <c r="N498" s="31"/>
      <c r="O498" s="31"/>
      <c r="P498" s="31"/>
      <c r="Q498" s="31"/>
      <c r="R498" s="31">
        <v>3.82</v>
      </c>
      <c r="S498" s="31"/>
      <c r="T498" s="31" t="s">
        <v>160</v>
      </c>
      <c r="U498" s="31" t="str">
        <f>LEFT(Table3[[#This Row],[Stage]],FIND(".",Table3[[#This Row],[Stage]],1)-1)</f>
        <v>3</v>
      </c>
      <c r="V498" s="31" t="str">
        <f>VLOOKUP(ABS(Table3[[#This Row],[Type]]),[1]!Table9[#All],2)</f>
        <v>Masonary</v>
      </c>
    </row>
    <row r="499" spans="1:22" x14ac:dyDescent="0.45">
      <c r="A499" s="55">
        <v>44653</v>
      </c>
      <c r="B499" t="s">
        <v>578</v>
      </c>
      <c r="C499" s="34">
        <v>13.38</v>
      </c>
      <c r="D499" s="31" t="s">
        <v>399</v>
      </c>
      <c r="E499" t="s">
        <v>71</v>
      </c>
      <c r="F499" s="58"/>
      <c r="G499" s="201">
        <v>1</v>
      </c>
      <c r="H499" s="58">
        <f>19.87+458.23</f>
        <v>478.1</v>
      </c>
      <c r="I499" s="58">
        <f>Table3[[#This Row],[Supplies Cost]]*$I$5</f>
        <v>83.667500000000004</v>
      </c>
      <c r="J499" s="109">
        <f>(Table3[[#This Row],[QTY]]*Table3[[#This Row],[Supplies Cost]])+Table3[[#This Row],[Tax/Fees]]</f>
        <v>561.76750000000004</v>
      </c>
      <c r="L499" s="4" t="s">
        <v>92</v>
      </c>
      <c r="M499" s="1" t="s">
        <v>47</v>
      </c>
      <c r="N499" s="40"/>
      <c r="O499" s="40">
        <v>810040778</v>
      </c>
      <c r="P499" s="40"/>
      <c r="Q499" s="40"/>
      <c r="R499" s="40"/>
      <c r="S499" s="40"/>
      <c r="T499" s="40" t="s">
        <v>53</v>
      </c>
      <c r="U499" s="40" t="str">
        <f>LEFT(Table3[[#This Row],[Stage]],FIND(".",Table3[[#This Row],[Stage]],1)-1)</f>
        <v>13</v>
      </c>
      <c r="V499" s="40" t="str">
        <f>VLOOKUP(ABS(Table3[[#This Row],[Type]]),[1]!Table9[#All],2)</f>
        <v>Electrical</v>
      </c>
    </row>
    <row r="500" spans="1:22" x14ac:dyDescent="0.45">
      <c r="A500" s="204">
        <v>44653</v>
      </c>
      <c r="B500" s="75" t="s">
        <v>232</v>
      </c>
      <c r="C500" s="76">
        <v>3.8</v>
      </c>
      <c r="D500" s="82" t="s">
        <v>399</v>
      </c>
      <c r="E500" s="75" t="s">
        <v>67</v>
      </c>
      <c r="F500" s="176"/>
      <c r="G500" s="205">
        <v>1</v>
      </c>
      <c r="H500" s="176">
        <v>10000</v>
      </c>
      <c r="I500" s="176"/>
      <c r="J500" s="206">
        <f>(Table3[[#This Row],[QTY]]*Table3[[#This Row],[Supplies Cost]])+Table3[[#This Row],[Tax/Fees]]</f>
        <v>10000</v>
      </c>
      <c r="K500" s="207"/>
      <c r="L500" s="207" t="s">
        <v>33</v>
      </c>
      <c r="M500" s="82" t="s">
        <v>34</v>
      </c>
      <c r="N500" s="86"/>
      <c r="O500" s="86"/>
      <c r="P500" s="86"/>
      <c r="Q500" s="86"/>
      <c r="R500" s="86">
        <v>3.8250000000000002</v>
      </c>
      <c r="S500" s="86"/>
      <c r="T500" s="86" t="s">
        <v>160</v>
      </c>
      <c r="U500" s="86" t="str">
        <f>LEFT(Table3[[#This Row],[Stage]],FIND(".",Table3[[#This Row],[Stage]],1)-1)</f>
        <v>3</v>
      </c>
      <c r="V500" s="86" t="str">
        <f>VLOOKUP(ABS(Table3[[#This Row],[Type]]),[1]!Table9[#All],2)</f>
        <v>Masonary</v>
      </c>
    </row>
    <row r="501" spans="1:22" x14ac:dyDescent="0.45">
      <c r="A501" s="55">
        <v>44656</v>
      </c>
      <c r="B501" s="208" t="s">
        <v>579</v>
      </c>
      <c r="C501" s="34">
        <v>8.0399999999999991</v>
      </c>
      <c r="D501" s="27" t="s">
        <v>45</v>
      </c>
      <c r="E501" t="s">
        <v>127</v>
      </c>
      <c r="F501" s="58"/>
      <c r="G501" s="209">
        <v>1</v>
      </c>
      <c r="H501" s="58">
        <v>605.5</v>
      </c>
      <c r="I501" s="58"/>
      <c r="J501" s="109">
        <f>(Table3[[#This Row],[QTY]]*Table3[[#This Row],[Supplies Cost]])+Table3[[#This Row],[Tax/Fees]]</f>
        <v>605.5</v>
      </c>
      <c r="L501" s="4" t="s">
        <v>33</v>
      </c>
      <c r="M501" s="1" t="s">
        <v>77</v>
      </c>
      <c r="N501" s="40"/>
      <c r="O501" s="40"/>
      <c r="P501" s="40"/>
      <c r="Q501" s="40"/>
      <c r="R501" s="40">
        <v>8.0410000000000004</v>
      </c>
      <c r="S501" s="40"/>
      <c r="T501" s="31" t="s">
        <v>60</v>
      </c>
      <c r="U501" s="40" t="str">
        <f>LEFT(Table3[[#This Row],[Stage]],FIND(".",Table3[[#This Row],[Stage]],1)-1)</f>
        <v>8</v>
      </c>
      <c r="V501" s="40" t="str">
        <f>VLOOKUP(ABS(Table3[[#This Row],[Type]]),[1]!Table9[#All],2)</f>
        <v>Administrative</v>
      </c>
    </row>
    <row r="502" spans="1:22" x14ac:dyDescent="0.45">
      <c r="A502" s="55">
        <v>44656</v>
      </c>
      <c r="B502" t="s">
        <v>580</v>
      </c>
      <c r="C502" s="25">
        <v>25.1</v>
      </c>
      <c r="D502" s="27" t="s">
        <v>431</v>
      </c>
      <c r="E502" s="25" t="s">
        <v>567</v>
      </c>
      <c r="F502" s="58"/>
      <c r="G502" s="149">
        <v>1</v>
      </c>
      <c r="H502" s="58">
        <v>964.45</v>
      </c>
      <c r="I502" s="58"/>
      <c r="J502" s="109">
        <f>(Table3[[#This Row],[QTY]]*Table3[[#This Row],[Supplies Cost]])+Table3[[#This Row],[Tax/Fees]]</f>
        <v>964.45</v>
      </c>
      <c r="L502" s="4" t="s">
        <v>33</v>
      </c>
      <c r="M502" s="1" t="s">
        <v>47</v>
      </c>
      <c r="N502" s="40"/>
      <c r="O502" s="40"/>
      <c r="P502" s="40"/>
      <c r="Q502" s="40"/>
      <c r="R502" s="40">
        <v>25.16</v>
      </c>
      <c r="S502" s="40"/>
      <c r="T502" s="31" t="s">
        <v>568</v>
      </c>
      <c r="U502" s="40" t="str">
        <f>LEFT(Table3[[#This Row],[Stage]],FIND(".",Table3[[#This Row],[Stage]],1)-1)</f>
        <v>25</v>
      </c>
      <c r="V502" s="40" t="str">
        <f>VLOOKUP(ABS(Table3[[#This Row],[Type]]),[1]!Table9[#All],2)</f>
        <v>Tiling</v>
      </c>
    </row>
    <row r="503" spans="1:22" x14ac:dyDescent="0.45">
      <c r="A503" s="55">
        <v>44657</v>
      </c>
      <c r="B503" t="s">
        <v>201</v>
      </c>
      <c r="C503" s="34">
        <v>7.8</v>
      </c>
      <c r="D503" s="27" t="s">
        <v>351</v>
      </c>
      <c r="E503" s="25" t="s">
        <v>69</v>
      </c>
      <c r="F503" s="58"/>
      <c r="G503" s="149">
        <v>1</v>
      </c>
      <c r="H503" s="58">
        <v>22.67</v>
      </c>
      <c r="I503" s="58"/>
      <c r="J503" s="109">
        <f>(Table3[[#This Row],[QTY]]*Table3[[#This Row],[Supplies Cost]])+Table3[[#This Row],[Tax/Fees]]</f>
        <v>22.67</v>
      </c>
      <c r="L503" s="4" t="s">
        <v>92</v>
      </c>
      <c r="M503" s="1" t="s">
        <v>47</v>
      </c>
      <c r="N503" s="40"/>
      <c r="O503" s="40" t="s">
        <v>581</v>
      </c>
      <c r="P503" s="40"/>
      <c r="Q503" s="40"/>
      <c r="R503" s="40"/>
      <c r="S503" s="40"/>
      <c r="T503" s="40" t="s">
        <v>280</v>
      </c>
      <c r="U503" s="40" t="str">
        <f>LEFT(Table3[[#This Row],[Stage]],FIND(".",Table3[[#This Row],[Stage]],1)-1)</f>
        <v>7</v>
      </c>
      <c r="V503" s="40" t="str">
        <f>VLOOKUP(ABS(Table3[[#This Row],[Type]]),[1]!Table9[#All],2)</f>
        <v>Carpentry</v>
      </c>
    </row>
    <row r="504" spans="1:22" x14ac:dyDescent="0.45">
      <c r="A504" s="55">
        <v>44657</v>
      </c>
      <c r="B504" t="s">
        <v>201</v>
      </c>
      <c r="C504" s="34">
        <v>7.8</v>
      </c>
      <c r="D504" s="27" t="s">
        <v>351</v>
      </c>
      <c r="E504" s="25" t="s">
        <v>69</v>
      </c>
      <c r="F504" s="58"/>
      <c r="G504" s="149">
        <v>1</v>
      </c>
      <c r="H504" s="58">
        <v>143.28</v>
      </c>
      <c r="I504" s="58"/>
      <c r="J504" s="109">
        <f>(Table3[[#This Row],[QTY]]*Table3[[#This Row],[Supplies Cost]])+Table3[[#This Row],[Tax/Fees]]</f>
        <v>143.28</v>
      </c>
      <c r="L504" s="4" t="s">
        <v>92</v>
      </c>
      <c r="M504" s="1" t="s">
        <v>47</v>
      </c>
      <c r="N504" s="40"/>
      <c r="O504" s="40" t="s">
        <v>581</v>
      </c>
      <c r="P504" s="40"/>
      <c r="Q504" s="40"/>
      <c r="R504" s="40"/>
      <c r="S504" s="40"/>
      <c r="T504" s="40" t="s">
        <v>280</v>
      </c>
      <c r="U504" s="40" t="str">
        <f>LEFT(Table3[[#This Row],[Stage]],FIND(".",Table3[[#This Row],[Stage]],1)-1)</f>
        <v>7</v>
      </c>
      <c r="V504" s="40" t="str">
        <f>VLOOKUP(ABS(Table3[[#This Row],[Type]]),[1]!Table9[#All],2)</f>
        <v>Carpentry</v>
      </c>
    </row>
    <row r="505" spans="1:22" x14ac:dyDescent="0.45">
      <c r="A505" s="55">
        <v>44657</v>
      </c>
      <c r="B505" t="s">
        <v>201</v>
      </c>
      <c r="C505" s="34">
        <v>7.8</v>
      </c>
      <c r="D505" s="27" t="s">
        <v>351</v>
      </c>
      <c r="E505" s="25" t="s">
        <v>69</v>
      </c>
      <c r="F505" s="58"/>
      <c r="G505" s="149">
        <v>1</v>
      </c>
      <c r="H505" s="58">
        <v>27.2</v>
      </c>
      <c r="I505" s="58"/>
      <c r="J505" s="109">
        <f>(Table3[[#This Row],[QTY]]*Table3[[#This Row],[Supplies Cost]])+Table3[[#This Row],[Tax/Fees]]</f>
        <v>27.2</v>
      </c>
      <c r="K505" s="203">
        <v>193.15</v>
      </c>
      <c r="L505" s="4" t="s">
        <v>33</v>
      </c>
      <c r="M505" s="1" t="s">
        <v>47</v>
      </c>
      <c r="N505" s="40"/>
      <c r="O505" s="40" t="s">
        <v>581</v>
      </c>
      <c r="P505" s="40"/>
      <c r="Q505" s="40"/>
      <c r="R505" s="40">
        <v>7.85</v>
      </c>
      <c r="S505" s="40"/>
      <c r="T505" s="40" t="s">
        <v>280</v>
      </c>
      <c r="U505" s="40" t="str">
        <f>LEFT(Table3[[#This Row],[Stage]],FIND(".",Table3[[#This Row],[Stage]],1)-1)</f>
        <v>7</v>
      </c>
      <c r="V505" s="40" t="str">
        <f>VLOOKUP(ABS(Table3[[#This Row],[Type]]),[1]!Table9[#All],2)</f>
        <v>Carpentry</v>
      </c>
    </row>
    <row r="506" spans="1:22" x14ac:dyDescent="0.45">
      <c r="A506" s="55">
        <v>44657</v>
      </c>
      <c r="B506" t="s">
        <v>582</v>
      </c>
      <c r="C506" s="25">
        <v>7.95</v>
      </c>
      <c r="D506" s="27" t="s">
        <v>374</v>
      </c>
      <c r="E506" s="25" t="s">
        <v>82</v>
      </c>
      <c r="F506" s="58"/>
      <c r="G506" s="149">
        <v>1</v>
      </c>
      <c r="H506" s="58">
        <v>2424.73</v>
      </c>
      <c r="I506" s="58"/>
      <c r="J506" s="109">
        <f>(Table3[[#This Row],[QTY]]*Table3[[#This Row],[Supplies Cost]])+Table3[[#This Row],[Tax/Fees]]</f>
        <v>2424.73</v>
      </c>
      <c r="L506" s="4" t="s">
        <v>33</v>
      </c>
      <c r="M506" s="1" t="s">
        <v>47</v>
      </c>
      <c r="N506" s="40"/>
      <c r="O506" s="40"/>
      <c r="P506" s="40"/>
      <c r="Q506" s="40"/>
      <c r="R506" s="40">
        <v>7.9554999999999998</v>
      </c>
      <c r="S506" s="40"/>
      <c r="T506" s="40" t="s">
        <v>280</v>
      </c>
      <c r="U506" s="40" t="str">
        <f>LEFT(Table3[[#This Row],[Stage]],FIND(".",Table3[[#This Row],[Stage]],1)-1)</f>
        <v>7</v>
      </c>
      <c r="V506" s="40" t="str">
        <f>VLOOKUP(ABS(Table3[[#This Row],[Type]]),[1]!Table9[#All],2)</f>
        <v>Carpentry</v>
      </c>
    </row>
    <row r="507" spans="1:22" x14ac:dyDescent="0.45">
      <c r="A507" s="55">
        <v>44657</v>
      </c>
      <c r="B507" t="s">
        <v>583</v>
      </c>
      <c r="C507" s="94">
        <v>7.82</v>
      </c>
      <c r="D507" s="31" t="s">
        <v>431</v>
      </c>
      <c r="E507" s="25" t="s">
        <v>69</v>
      </c>
      <c r="F507" s="58"/>
      <c r="G507" s="149">
        <v>1</v>
      </c>
      <c r="H507" s="58">
        <f>462</f>
        <v>462</v>
      </c>
      <c r="I507" s="58"/>
      <c r="J507" s="109">
        <f>(Table3[[#This Row],[QTY]]*Table3[[#This Row],[Supplies Cost]])+Table3[[#This Row],[Tax/Fees]]</f>
        <v>462</v>
      </c>
      <c r="L507" s="4" t="s">
        <v>92</v>
      </c>
      <c r="M507" s="1" t="s">
        <v>34</v>
      </c>
      <c r="N507" s="40"/>
      <c r="O507" s="56">
        <v>22040501</v>
      </c>
      <c r="P507" s="40"/>
      <c r="Q507" s="40"/>
      <c r="R507" s="40"/>
      <c r="S507" s="40"/>
      <c r="T507" s="40" t="s">
        <v>302</v>
      </c>
      <c r="U507" s="40" t="str">
        <f>LEFT(Table3[[#This Row],[Stage]],FIND(".",Table3[[#This Row],[Stage]],1)-1)</f>
        <v>7</v>
      </c>
      <c r="V507" s="40" t="str">
        <f>VLOOKUP(ABS(Table3[[#This Row],[Type]]),[1]!Table9[#All],2)</f>
        <v>Carpentry</v>
      </c>
    </row>
    <row r="508" spans="1:22" x14ac:dyDescent="0.45">
      <c r="A508" s="55">
        <v>44657</v>
      </c>
      <c r="B508" t="s">
        <v>584</v>
      </c>
      <c r="C508" s="94">
        <v>7.82</v>
      </c>
      <c r="D508" s="31" t="s">
        <v>431</v>
      </c>
      <c r="E508" s="25" t="s">
        <v>69</v>
      </c>
      <c r="F508" s="58"/>
      <c r="G508" s="149">
        <v>1</v>
      </c>
      <c r="H508" s="58">
        <v>480</v>
      </c>
      <c r="I508" s="58"/>
      <c r="J508" s="109">
        <f>(Table3[[#This Row],[QTY]]*Table3[[#This Row],[Supplies Cost]])+Table3[[#This Row],[Tax/Fees]]</f>
        <v>480</v>
      </c>
      <c r="L508" s="4" t="s">
        <v>92</v>
      </c>
      <c r="M508" s="1" t="s">
        <v>34</v>
      </c>
      <c r="N508" s="40"/>
      <c r="O508" s="56">
        <v>22040501</v>
      </c>
      <c r="P508" s="40"/>
      <c r="Q508" s="40"/>
      <c r="R508" s="40"/>
      <c r="S508" s="40"/>
      <c r="T508" s="40" t="s">
        <v>365</v>
      </c>
      <c r="U508" s="40" t="str">
        <f>LEFT(Table3[[#This Row],[Stage]],FIND(".",Table3[[#This Row],[Stage]],1)-1)</f>
        <v>7</v>
      </c>
      <c r="V508" s="40" t="str">
        <f>VLOOKUP(ABS(Table3[[#This Row],[Type]]),[1]!Table9[#All],2)</f>
        <v>Carpentry</v>
      </c>
    </row>
    <row r="509" spans="1:22" x14ac:dyDescent="0.45">
      <c r="A509" s="55">
        <v>44657</v>
      </c>
      <c r="B509" t="s">
        <v>585</v>
      </c>
      <c r="C509" s="94">
        <v>25.1</v>
      </c>
      <c r="D509" s="31" t="s">
        <v>431</v>
      </c>
      <c r="E509" t="s">
        <v>69</v>
      </c>
      <c r="F509" s="58"/>
      <c r="G509" s="209">
        <v>1</v>
      </c>
      <c r="H509" s="58">
        <v>3150</v>
      </c>
      <c r="I509" s="58"/>
      <c r="J509" s="109">
        <f>(Table3[[#This Row],[QTY]]*Table3[[#This Row],[Supplies Cost]])+Table3[[#This Row],[Tax/Fees]]</f>
        <v>3150</v>
      </c>
      <c r="K509" s="203">
        <v>9037.1</v>
      </c>
      <c r="L509" s="4" t="s">
        <v>33</v>
      </c>
      <c r="M509" s="1" t="s">
        <v>34</v>
      </c>
      <c r="N509" s="40"/>
      <c r="O509" s="56">
        <v>22040501</v>
      </c>
      <c r="P509" s="40"/>
      <c r="Q509" s="40"/>
      <c r="R509" s="40">
        <v>25.135000000000002</v>
      </c>
      <c r="S509" s="40"/>
      <c r="T509" s="40" t="s">
        <v>568</v>
      </c>
      <c r="U509" s="40" t="str">
        <f>LEFT(Table3[[#This Row],[Stage]],FIND(".",Table3[[#This Row],[Stage]],1)-1)</f>
        <v>25</v>
      </c>
      <c r="V509" s="40" t="str">
        <f>VLOOKUP(ABS(Table3[[#This Row],[Type]]),[1]!Table9[#All],2)</f>
        <v>Tiling</v>
      </c>
    </row>
    <row r="510" spans="1:22" x14ac:dyDescent="0.45">
      <c r="A510" s="55">
        <v>44657</v>
      </c>
      <c r="B510" t="s">
        <v>586</v>
      </c>
      <c r="C510" s="210">
        <v>7.95</v>
      </c>
      <c r="D510" s="31" t="s">
        <v>489</v>
      </c>
      <c r="E510" t="s">
        <v>69</v>
      </c>
      <c r="F510" s="58"/>
      <c r="G510" s="209">
        <v>1</v>
      </c>
      <c r="H510" s="58">
        <f>24279.1-20024</f>
        <v>4255.0999999999985</v>
      </c>
      <c r="I510" s="58"/>
      <c r="J510" s="109">
        <f>(Table3[[#This Row],[QTY]]*Table3[[#This Row],[Supplies Cost]])+Table3[[#This Row],[Tax/Fees]]</f>
        <v>4255.0999999999985</v>
      </c>
      <c r="L510" s="4" t="s">
        <v>92</v>
      </c>
      <c r="M510" s="1" t="s">
        <v>34</v>
      </c>
      <c r="N510" s="40"/>
      <c r="O510" s="56">
        <v>22040501</v>
      </c>
      <c r="P510" s="40"/>
      <c r="Q510" s="40"/>
      <c r="R510" s="40"/>
      <c r="S510" s="40"/>
      <c r="T510" s="40" t="s">
        <v>280</v>
      </c>
      <c r="U510" s="40" t="str">
        <f>LEFT(Table3[[#This Row],[Stage]],FIND(".",Table3[[#This Row],[Stage]],1)-1)</f>
        <v>7</v>
      </c>
      <c r="V510" s="40" t="str">
        <f>VLOOKUP(ABS(Table3[[#This Row],[Type]]),[1]!Table9[#All],2)</f>
        <v>Carpentry</v>
      </c>
    </row>
    <row r="511" spans="1:22" x14ac:dyDescent="0.45">
      <c r="A511" s="55">
        <v>44657</v>
      </c>
      <c r="B511" t="s">
        <v>587</v>
      </c>
      <c r="C511" s="210">
        <v>7.82</v>
      </c>
      <c r="D511" s="1" t="s">
        <v>233</v>
      </c>
      <c r="E511" t="s">
        <v>69</v>
      </c>
      <c r="F511" s="58"/>
      <c r="G511" s="209">
        <v>1</v>
      </c>
      <c r="H511" s="58">
        <f>4140-3450</f>
        <v>690</v>
      </c>
      <c r="I511" s="58"/>
      <c r="J511" s="109">
        <f>(Table3[[#This Row],[QTY]]*Table3[[#This Row],[Supplies Cost]])+Table3[[#This Row],[Tax/Fees]]</f>
        <v>690</v>
      </c>
      <c r="L511" s="4" t="s">
        <v>92</v>
      </c>
      <c r="M511" s="1" t="s">
        <v>34</v>
      </c>
      <c r="N511" s="40"/>
      <c r="O511" s="56">
        <v>22040501</v>
      </c>
      <c r="P511" s="40"/>
      <c r="Q511" s="40"/>
      <c r="R511" s="40"/>
      <c r="S511" s="40"/>
      <c r="T511" s="40" t="s">
        <v>365</v>
      </c>
      <c r="U511" s="40" t="str">
        <f>LEFT(Table3[[#This Row],[Stage]],FIND(".",Table3[[#This Row],[Stage]],1)-1)</f>
        <v>7</v>
      </c>
      <c r="V511" s="40" t="str">
        <f>VLOOKUP(ABS(Table3[[#This Row],[Type]]),[1]!Table9[#All],2)</f>
        <v>Carpentry</v>
      </c>
    </row>
    <row r="512" spans="1:22" x14ac:dyDescent="0.45">
      <c r="A512" s="55">
        <v>44658</v>
      </c>
      <c r="B512" t="s">
        <v>588</v>
      </c>
      <c r="C512">
        <v>7.8</v>
      </c>
      <c r="D512" s="152" t="s">
        <v>431</v>
      </c>
      <c r="E512" t="s">
        <v>71</v>
      </c>
      <c r="F512" s="58"/>
      <c r="G512" s="211">
        <v>1</v>
      </c>
      <c r="H512" s="58">
        <v>297.86</v>
      </c>
      <c r="I512" s="58"/>
      <c r="J512" s="109">
        <f>(Table3[[#This Row],[QTY]]*Table3[[#This Row],[Supplies Cost]])+Table3[[#This Row],[Tax/Fees]]</f>
        <v>297.86</v>
      </c>
      <c r="L512" s="4" t="s">
        <v>33</v>
      </c>
      <c r="M512" s="1" t="s">
        <v>47</v>
      </c>
      <c r="N512" s="40"/>
      <c r="O512" s="40"/>
      <c r="P512" s="40"/>
      <c r="Q512" s="40"/>
      <c r="R512" s="40">
        <v>7.8150000000000004</v>
      </c>
      <c r="S512" s="40"/>
      <c r="T512" s="40" t="s">
        <v>160</v>
      </c>
      <c r="U512" s="40" t="str">
        <f>LEFT(Table3[[#This Row],[Stage]],FIND(".",Table3[[#This Row],[Stage]],1)-1)</f>
        <v>7</v>
      </c>
      <c r="V512" s="40" t="str">
        <f>VLOOKUP(ABS(Table3[[#This Row],[Type]]),[1]!Table9[#All],2)</f>
        <v>Carpentry</v>
      </c>
    </row>
    <row r="513" spans="1:22" x14ac:dyDescent="0.45">
      <c r="A513" s="55">
        <v>44658</v>
      </c>
      <c r="B513" t="s">
        <v>589</v>
      </c>
      <c r="C513">
        <v>25.1</v>
      </c>
      <c r="D513" s="27" t="s">
        <v>431</v>
      </c>
      <c r="E513" t="s">
        <v>590</v>
      </c>
      <c r="F513" s="58"/>
      <c r="G513" s="211">
        <v>1</v>
      </c>
      <c r="H513" s="58">
        <v>12868.33</v>
      </c>
      <c r="I513" s="58">
        <v>2251.96</v>
      </c>
      <c r="J513" s="109">
        <f>(Table3[[#This Row],[QTY]]*Table3[[#This Row],[Supplies Cost]])+Table3[[#This Row],[Tax/Fees]]</f>
        <v>15120.29</v>
      </c>
      <c r="L513" s="4" t="s">
        <v>33</v>
      </c>
      <c r="M513" s="1" t="s">
        <v>47</v>
      </c>
      <c r="N513" s="40"/>
      <c r="O513" s="40">
        <v>16951</v>
      </c>
      <c r="P513" s="40"/>
      <c r="Q513" s="40"/>
      <c r="R513" s="40">
        <v>25.11</v>
      </c>
      <c r="S513" s="40"/>
      <c r="T513" s="40" t="s">
        <v>568</v>
      </c>
      <c r="U513" s="40" t="str">
        <f>LEFT(Table3[[#This Row],[Stage]],FIND(".",Table3[[#This Row],[Stage]],1)-1)</f>
        <v>25</v>
      </c>
      <c r="V513" s="40" t="str">
        <f>VLOOKUP(ABS(Table3[[#This Row],[Type]]),[1]!Table9[#All],2)</f>
        <v>Tiling</v>
      </c>
    </row>
    <row r="514" spans="1:22" x14ac:dyDescent="0.45">
      <c r="A514" s="55">
        <v>44658</v>
      </c>
      <c r="B514" t="s">
        <v>591</v>
      </c>
      <c r="C514" s="25">
        <v>8.02</v>
      </c>
      <c r="D514" s="31" t="s">
        <v>431</v>
      </c>
      <c r="E514" t="s">
        <v>592</v>
      </c>
      <c r="F514" s="58"/>
      <c r="G514" s="211">
        <v>2</v>
      </c>
      <c r="H514" s="58">
        <v>344.2</v>
      </c>
      <c r="I514" s="58"/>
      <c r="J514" s="109">
        <f>(Table3[[#This Row],[QTY]]*Table3[[#This Row],[Supplies Cost]])+Table3[[#This Row],[Tax/Fees]]</f>
        <v>688.4</v>
      </c>
      <c r="L514" s="4" t="s">
        <v>33</v>
      </c>
      <c r="M514" s="1" t="s">
        <v>77</v>
      </c>
      <c r="N514" s="40"/>
      <c r="O514" s="40"/>
      <c r="P514" s="40"/>
      <c r="Q514" s="40"/>
      <c r="R514" s="40">
        <v>8.0210000000000008</v>
      </c>
      <c r="S514" s="40"/>
      <c r="T514" s="40" t="s">
        <v>60</v>
      </c>
      <c r="U514" s="40" t="str">
        <f>LEFT(Table3[[#This Row],[Stage]],FIND(".",Table3[[#This Row],[Stage]],1)-1)</f>
        <v>8</v>
      </c>
      <c r="V514" s="40" t="str">
        <f>VLOOKUP(ABS(Table3[[#This Row],[Type]]),[1]!Table9[#All],2)</f>
        <v>Administrative</v>
      </c>
    </row>
    <row r="515" spans="1:22" x14ac:dyDescent="0.45">
      <c r="A515" s="55">
        <v>44665</v>
      </c>
      <c r="B515" t="s">
        <v>593</v>
      </c>
      <c r="C515" s="56">
        <v>26.2</v>
      </c>
      <c r="D515" s="90" t="s">
        <v>358</v>
      </c>
      <c r="E515" t="s">
        <v>470</v>
      </c>
      <c r="F515" s="58"/>
      <c r="G515" s="211">
        <v>1</v>
      </c>
      <c r="H515" s="58">
        <v>197.85</v>
      </c>
      <c r="I515" s="58"/>
      <c r="J515" s="109">
        <f>(Table3[[#This Row],[QTY]]*Table3[[#This Row],[Supplies Cost]])+Table3[[#This Row],[Tax/Fees]]</f>
        <v>197.85</v>
      </c>
      <c r="K515" s="203">
        <v>5647.85</v>
      </c>
      <c r="L515" s="4" t="s">
        <v>33</v>
      </c>
      <c r="M515" s="1" t="s">
        <v>47</v>
      </c>
      <c r="N515" s="40"/>
      <c r="O515" s="40" t="s">
        <v>594</v>
      </c>
      <c r="P515" s="40"/>
      <c r="Q515" s="40"/>
      <c r="R515" s="40">
        <v>26.225000000000001</v>
      </c>
      <c r="S515" s="40"/>
      <c r="T515" s="40" t="s">
        <v>433</v>
      </c>
      <c r="U515" s="40" t="str">
        <f>LEFT(Table3[[#This Row],[Stage]],FIND(".",Table3[[#This Row],[Stage]],1)-1)</f>
        <v>26</v>
      </c>
      <c r="V515" s="40" t="str">
        <f>VLOOKUP(ABS(Table3[[#This Row],[Type]]),[1]!Table9[#All],2)</f>
        <v>Painting</v>
      </c>
    </row>
    <row r="516" spans="1:22" x14ac:dyDescent="0.45">
      <c r="A516" s="55">
        <v>44665</v>
      </c>
      <c r="B516" t="s">
        <v>595</v>
      </c>
      <c r="C516" s="212">
        <v>26.2</v>
      </c>
      <c r="D516" s="31" t="s">
        <v>399</v>
      </c>
      <c r="E516" t="s">
        <v>470</v>
      </c>
      <c r="F516" s="58"/>
      <c r="G516" s="211">
        <v>1</v>
      </c>
      <c r="H516" s="58">
        <v>5450</v>
      </c>
      <c r="I516" s="58"/>
      <c r="J516" s="109">
        <f>(Table3[[#This Row],[QTY]]*Table3[[#This Row],[Supplies Cost]])+Table3[[#This Row],[Tax/Fees]]</f>
        <v>5450</v>
      </c>
      <c r="L516" s="4" t="s">
        <v>92</v>
      </c>
      <c r="M516" s="1" t="s">
        <v>34</v>
      </c>
      <c r="N516" s="40"/>
      <c r="O516" s="40" t="s">
        <v>594</v>
      </c>
      <c r="P516" s="40"/>
      <c r="Q516" s="40"/>
      <c r="R516" s="40"/>
      <c r="S516" s="40"/>
      <c r="T516" s="31" t="s">
        <v>433</v>
      </c>
      <c r="U516" s="40" t="str">
        <f>LEFT(Table3[[#This Row],[Stage]],FIND(".",Table3[[#This Row],[Stage]],1)-1)</f>
        <v>26</v>
      </c>
      <c r="V516" s="40" t="str">
        <f>VLOOKUP(ABS(Table3[[#This Row],[Type]]),[1]!Table9[#All],2)</f>
        <v>Painting</v>
      </c>
    </row>
    <row r="517" spans="1:22" x14ac:dyDescent="0.45">
      <c r="A517" s="55">
        <v>44667</v>
      </c>
      <c r="B517" t="s">
        <v>596</v>
      </c>
      <c r="C517" s="127">
        <v>25.1</v>
      </c>
      <c r="D517" s="40" t="s">
        <v>431</v>
      </c>
      <c r="E517" t="s">
        <v>590</v>
      </c>
      <c r="F517" s="58"/>
      <c r="G517" s="211">
        <v>1</v>
      </c>
      <c r="H517" s="58">
        <v>31.46</v>
      </c>
      <c r="I517" s="58">
        <v>5.5</v>
      </c>
      <c r="J517" s="109">
        <f>(Table3[[#This Row],[QTY]]*Table3[[#This Row],[Supplies Cost]])+Table3[[#This Row],[Tax/Fees]]</f>
        <v>36.96</v>
      </c>
      <c r="L517" s="4" t="s">
        <v>33</v>
      </c>
      <c r="M517" s="31" t="s">
        <v>47</v>
      </c>
      <c r="N517" s="40"/>
      <c r="O517" s="40"/>
      <c r="P517" s="40"/>
      <c r="Q517" s="40"/>
      <c r="R517" s="40">
        <v>25.11</v>
      </c>
      <c r="S517" s="40"/>
      <c r="T517" s="31" t="s">
        <v>433</v>
      </c>
      <c r="U517" s="40" t="str">
        <f>LEFT(Table3[[#This Row],[Stage]],FIND(".",Table3[[#This Row],[Stage]],1)-1)</f>
        <v>25</v>
      </c>
      <c r="V517" s="40" t="str">
        <f>VLOOKUP(ABS(Table3[[#This Row],[Type]]),[1]!Table9[#All],2)</f>
        <v>Tiling</v>
      </c>
    </row>
    <row r="518" spans="1:22" x14ac:dyDescent="0.45">
      <c r="A518" s="55">
        <v>44670</v>
      </c>
      <c r="B518" t="s">
        <v>369</v>
      </c>
      <c r="C518" s="57">
        <v>3.1</v>
      </c>
      <c r="D518" s="27" t="s">
        <v>489</v>
      </c>
      <c r="E518" t="s">
        <v>239</v>
      </c>
      <c r="F518" s="58"/>
      <c r="G518" s="209">
        <v>1</v>
      </c>
      <c r="H518" s="58">
        <v>350</v>
      </c>
      <c r="I518" s="58"/>
      <c r="J518" s="109">
        <f>(Table3[[#This Row],[QTY]]*Table3[[#This Row],[Supplies Cost]])+Table3[[#This Row],[Tax/Fees]]</f>
        <v>350</v>
      </c>
      <c r="L518" s="4" t="s">
        <v>33</v>
      </c>
      <c r="M518" s="1" t="s">
        <v>77</v>
      </c>
      <c r="N518" s="40"/>
      <c r="O518" s="40"/>
      <c r="P518" s="40"/>
      <c r="Q518" s="40"/>
      <c r="R518" s="40">
        <v>3.12</v>
      </c>
      <c r="S518" s="40"/>
      <c r="T518" s="139" t="s">
        <v>160</v>
      </c>
      <c r="U518" s="40" t="str">
        <f>LEFT(Table3[[#This Row],[Stage]],FIND(".",Table3[[#This Row],[Stage]],1)-1)</f>
        <v>3</v>
      </c>
      <c r="V518" s="40" t="str">
        <f>VLOOKUP(ABS(Table3[[#This Row],[Type]]),[1]!Table9[#All],2)</f>
        <v>Masonary</v>
      </c>
    </row>
    <row r="519" spans="1:22" x14ac:dyDescent="0.45">
      <c r="A519" s="55">
        <v>44670</v>
      </c>
      <c r="B519" t="s">
        <v>597</v>
      </c>
      <c r="C519" s="57">
        <v>7.9</v>
      </c>
      <c r="D519" s="40" t="s">
        <v>399</v>
      </c>
      <c r="E519" t="s">
        <v>116</v>
      </c>
      <c r="F519" s="58"/>
      <c r="G519" s="209">
        <v>1</v>
      </c>
      <c r="H519" s="58">
        <v>1135.05</v>
      </c>
      <c r="I519" s="58"/>
      <c r="J519" s="109">
        <f>(Table3[[#This Row],[QTY]]*Table3[[#This Row],[Supplies Cost]])+Table3[[#This Row],[Tax/Fees]]</f>
        <v>1135.05</v>
      </c>
      <c r="L519" s="4" t="s">
        <v>33</v>
      </c>
      <c r="M519" s="1" t="s">
        <v>77</v>
      </c>
      <c r="N519" s="40"/>
      <c r="O519" s="40"/>
      <c r="P519" s="40"/>
      <c r="Q519" s="40"/>
      <c r="R519" s="40">
        <v>7.915</v>
      </c>
      <c r="S519" s="40"/>
      <c r="T519" s="40" t="s">
        <v>433</v>
      </c>
      <c r="U519" s="40" t="str">
        <f>LEFT(Table3[[#This Row],[Stage]],FIND(".",Table3[[#This Row],[Stage]],1)-1)</f>
        <v>7</v>
      </c>
      <c r="V519" s="40" t="str">
        <f>VLOOKUP(ABS(Table3[[#This Row],[Type]]),[1]!Table9[#All],2)</f>
        <v>Carpentry</v>
      </c>
    </row>
    <row r="520" spans="1:22" x14ac:dyDescent="0.45">
      <c r="A520" s="55">
        <v>44670</v>
      </c>
      <c r="B520" t="s">
        <v>104</v>
      </c>
      <c r="C520" s="94">
        <v>8.0299999999999994</v>
      </c>
      <c r="D520" s="31" t="s">
        <v>144</v>
      </c>
      <c r="E520" t="s">
        <v>104</v>
      </c>
      <c r="F520" s="58"/>
      <c r="G520" s="213">
        <v>1</v>
      </c>
      <c r="H520" s="58">
        <v>20.59</v>
      </c>
      <c r="I520" s="58"/>
      <c r="J520" s="109">
        <f>(Table3[[#This Row],[QTY]]*Table3[[#This Row],[Supplies Cost]])+Table3[[#This Row],[Tax/Fees]]</f>
        <v>20.59</v>
      </c>
      <c r="K520" s="203"/>
      <c r="L520" s="4" t="s">
        <v>33</v>
      </c>
      <c r="M520" s="1" t="s">
        <v>77</v>
      </c>
      <c r="N520" s="40"/>
      <c r="O520" s="40"/>
      <c r="P520" s="40"/>
      <c r="Q520" s="40"/>
      <c r="R520" s="40">
        <v>8.0335000000000001</v>
      </c>
      <c r="S520" s="40"/>
      <c r="T520" s="40" t="s">
        <v>160</v>
      </c>
      <c r="U520" s="40" t="str">
        <f>LEFT(Table3[[#This Row],[Stage]],FIND(".",Table3[[#This Row],[Stage]],1)-1)</f>
        <v>8</v>
      </c>
      <c r="V520" s="31" t="str">
        <f>VLOOKUP(ABS(Table3[[#This Row],[Type]]),[1]!Table9[#All],2)</f>
        <v>Administrative</v>
      </c>
    </row>
    <row r="521" spans="1:22" x14ac:dyDescent="0.45">
      <c r="A521" s="55">
        <v>44673</v>
      </c>
      <c r="B521" t="s">
        <v>339</v>
      </c>
      <c r="C521" s="34">
        <v>3.16</v>
      </c>
      <c r="D521" s="27" t="s">
        <v>431</v>
      </c>
      <c r="E521" t="s">
        <v>71</v>
      </c>
      <c r="F521" s="58"/>
      <c r="G521" s="209">
        <v>20</v>
      </c>
      <c r="H521" s="58">
        <v>15.9</v>
      </c>
      <c r="I521" s="58">
        <f>20+59.15</f>
        <v>79.150000000000006</v>
      </c>
      <c r="J521" s="109">
        <f>(Table3[[#This Row],[QTY]]*Table3[[#This Row],[Supplies Cost]])+Table3[[#This Row],[Tax/Fees]]</f>
        <v>397.15</v>
      </c>
      <c r="L521" s="4" t="s">
        <v>33</v>
      </c>
      <c r="M521" s="1" t="s">
        <v>47</v>
      </c>
      <c r="N521" s="40"/>
      <c r="O521" s="40"/>
      <c r="P521" s="40"/>
      <c r="Q521" s="40"/>
      <c r="R521" s="40">
        <v>7.81</v>
      </c>
      <c r="S521" s="40"/>
      <c r="T521" s="138" t="s">
        <v>160</v>
      </c>
      <c r="U521" s="40" t="str">
        <f>LEFT(Table3[[#This Row],[Stage]],FIND(".",Table3[[#This Row],[Stage]],1)-1)</f>
        <v>3</v>
      </c>
      <c r="V521" s="40" t="str">
        <f>VLOOKUP(ABS(Table3[[#This Row],[Type]]),[1]!Table9[#All],2)</f>
        <v>Masonary</v>
      </c>
    </row>
    <row r="522" spans="1:22" x14ac:dyDescent="0.45">
      <c r="A522" s="55">
        <v>44673</v>
      </c>
      <c r="B522" t="s">
        <v>598</v>
      </c>
      <c r="C522" s="34">
        <v>5.67</v>
      </c>
      <c r="D522" s="27" t="s">
        <v>489</v>
      </c>
      <c r="E522" t="s">
        <v>64</v>
      </c>
      <c r="F522" s="58"/>
      <c r="G522" s="209">
        <v>1</v>
      </c>
      <c r="H522" s="58">
        <v>700</v>
      </c>
      <c r="I522" s="58"/>
      <c r="J522" s="109">
        <f>(Table3[[#This Row],[QTY]]*Table3[[#This Row],[Supplies Cost]])+Table3[[#This Row],[Tax/Fees]]</f>
        <v>700</v>
      </c>
      <c r="L522" s="4" t="s">
        <v>33</v>
      </c>
      <c r="M522" s="1" t="s">
        <v>47</v>
      </c>
      <c r="N522" s="40"/>
      <c r="O522" s="40"/>
      <c r="P522" s="40"/>
      <c r="Q522" s="40"/>
      <c r="R522" s="40">
        <v>5.6725000000000003</v>
      </c>
      <c r="S522" s="40"/>
      <c r="T522" s="138" t="s">
        <v>160</v>
      </c>
      <c r="U522" s="40" t="str">
        <f>LEFT(Table3[[#This Row],[Stage]],FIND(".",Table3[[#This Row],[Stage]],1)-1)</f>
        <v>5</v>
      </c>
      <c r="V522" s="40" t="str">
        <f>VLOOKUP(ABS(Table3[[#This Row],[Type]]),[1]!Table9[#All],2)</f>
        <v>Earthworks</v>
      </c>
    </row>
    <row r="523" spans="1:22" x14ac:dyDescent="0.45">
      <c r="A523" s="55">
        <v>44674</v>
      </c>
      <c r="B523" t="s">
        <v>599</v>
      </c>
      <c r="C523" s="31">
        <v>3.06</v>
      </c>
      <c r="D523" s="1" t="s">
        <v>374</v>
      </c>
      <c r="E523" s="25" t="s">
        <v>71</v>
      </c>
      <c r="F523" s="58"/>
      <c r="G523" s="214">
        <v>1</v>
      </c>
      <c r="H523" s="58">
        <v>69.14</v>
      </c>
      <c r="I523" s="58"/>
      <c r="J523" s="109">
        <f>(Table3[[#This Row],[QTY]]*Table3[[#This Row],[Supplies Cost]])+Table3[[#This Row],[Tax/Fees]]</f>
        <v>69.14</v>
      </c>
      <c r="L523" s="4" t="s">
        <v>33</v>
      </c>
      <c r="M523" s="1" t="s">
        <v>47</v>
      </c>
      <c r="N523" s="40"/>
      <c r="O523" s="40"/>
      <c r="P523" s="40"/>
      <c r="Q523" s="40"/>
      <c r="R523" s="40">
        <v>3.0630000000000002</v>
      </c>
      <c r="S523" s="40"/>
      <c r="T523" s="40" t="s">
        <v>160</v>
      </c>
      <c r="U523" s="40" t="str">
        <f>LEFT(Table3[[#This Row],[Stage]],FIND(".",Table3[[#This Row],[Stage]],1)-1)</f>
        <v>3</v>
      </c>
      <c r="V523" s="40" t="str">
        <f>VLOOKUP(ABS(Table3[[#This Row],[Type]]),[1]!Table9[#All],2)</f>
        <v>Masonary</v>
      </c>
    </row>
    <row r="524" spans="1:22" x14ac:dyDescent="0.45">
      <c r="A524" s="55">
        <v>44674</v>
      </c>
      <c r="B524" t="s">
        <v>600</v>
      </c>
      <c r="C524" s="31">
        <v>3.06</v>
      </c>
      <c r="D524" s="1" t="s">
        <v>374</v>
      </c>
      <c r="E524" t="s">
        <v>71</v>
      </c>
      <c r="F524" s="58"/>
      <c r="G524" s="214">
        <v>1</v>
      </c>
      <c r="H524" s="58">
        <v>93.68</v>
      </c>
      <c r="I524" s="58"/>
      <c r="J524" s="109">
        <f>(Table3[[#This Row],[QTY]]*Table3[[#This Row],[Supplies Cost]])+Table3[[#This Row],[Tax/Fees]]</f>
        <v>93.68</v>
      </c>
      <c r="L524" s="4" t="s">
        <v>33</v>
      </c>
      <c r="M524" s="1" t="s">
        <v>47</v>
      </c>
      <c r="N524" s="40"/>
      <c r="O524" s="40"/>
      <c r="P524" s="40"/>
      <c r="Q524" s="40"/>
      <c r="R524" s="40">
        <v>3.0634999999999999</v>
      </c>
      <c r="S524" s="40"/>
      <c r="T524" s="40" t="s">
        <v>160</v>
      </c>
      <c r="U524" s="40" t="str">
        <f>LEFT(Table3[[#This Row],[Stage]],FIND(".",Table3[[#This Row],[Stage]],1)-1)</f>
        <v>3</v>
      </c>
      <c r="V524" s="40" t="str">
        <f>VLOOKUP(ABS(Table3[[#This Row],[Type]]),[1]!Table9[#All],2)</f>
        <v>Masonary</v>
      </c>
    </row>
    <row r="525" spans="1:22" x14ac:dyDescent="0.45">
      <c r="A525" s="55">
        <v>44674</v>
      </c>
      <c r="B525" t="s">
        <v>601</v>
      </c>
      <c r="C525" s="57">
        <v>3.8</v>
      </c>
      <c r="D525" s="1" t="s">
        <v>399</v>
      </c>
      <c r="E525" s="25" t="s">
        <v>71</v>
      </c>
      <c r="F525" s="28"/>
      <c r="G525" s="209">
        <v>1</v>
      </c>
      <c r="H525" s="28">
        <v>162.82</v>
      </c>
      <c r="I525" s="28"/>
      <c r="J525" s="109">
        <f>(Table3[[#This Row],[QTY]]*Table3[[#This Row],[Supplies Cost]])+Table3[[#This Row],[Tax/Fees]]</f>
        <v>162.82</v>
      </c>
      <c r="K525" s="203">
        <v>262.7</v>
      </c>
      <c r="L525" s="4" t="s">
        <v>33</v>
      </c>
      <c r="M525" s="1" t="s">
        <v>47</v>
      </c>
      <c r="N525" s="40"/>
      <c r="O525" s="40"/>
      <c r="P525" s="40"/>
      <c r="Q525" s="40"/>
      <c r="R525" s="40">
        <v>3.8149999999999999</v>
      </c>
      <c r="S525" s="40"/>
      <c r="T525" s="31" t="s">
        <v>160</v>
      </c>
      <c r="U525" s="40" t="str">
        <f>LEFT(Table3[[#This Row],[Stage]],FIND(".",Table3[[#This Row],[Stage]],1)-1)</f>
        <v>3</v>
      </c>
      <c r="V525" s="40" t="str">
        <f>VLOOKUP(ABS(Table3[[#This Row],[Type]]),[1]!Table9[#All],2)</f>
        <v>Masonary</v>
      </c>
    </row>
    <row r="526" spans="1:22" x14ac:dyDescent="0.45">
      <c r="A526" s="55">
        <v>44676</v>
      </c>
      <c r="B526" t="s">
        <v>602</v>
      </c>
      <c r="C526" s="34">
        <v>7.9</v>
      </c>
      <c r="D526" s="1" t="s">
        <v>399</v>
      </c>
      <c r="E526" t="s">
        <v>116</v>
      </c>
      <c r="F526" s="28"/>
      <c r="G526" s="209">
        <v>1</v>
      </c>
      <c r="H526" s="58">
        <v>99.88</v>
      </c>
      <c r="I526" s="28"/>
      <c r="J526" s="109">
        <f>(Table3[[#This Row],[QTY]]*Table3[[#This Row],[Supplies Cost]])+Table3[[#This Row],[Tax/Fees]]</f>
        <v>99.88</v>
      </c>
      <c r="L526" s="4" t="s">
        <v>33</v>
      </c>
      <c r="M526" s="1" t="s">
        <v>77</v>
      </c>
      <c r="N526" s="31"/>
      <c r="O526" s="31"/>
      <c r="P526" s="31"/>
      <c r="Q526" s="31"/>
      <c r="R526" s="31">
        <v>7.91</v>
      </c>
      <c r="S526" s="31"/>
      <c r="T526" s="31" t="s">
        <v>188</v>
      </c>
      <c r="U526" s="31" t="str">
        <f>LEFT(Table3[[#This Row],[Stage]],FIND(".",Table3[[#This Row],[Stage]],1)-1)</f>
        <v>7</v>
      </c>
      <c r="V526" s="31" t="str">
        <f>VLOOKUP(ABS(Table3[[#This Row],[Type]]),[1]!Table9[#All],2)</f>
        <v>Carpentry</v>
      </c>
    </row>
    <row r="527" spans="1:22" x14ac:dyDescent="0.45">
      <c r="A527" s="215">
        <v>44678</v>
      </c>
      <c r="B527" t="s">
        <v>603</v>
      </c>
      <c r="C527" s="34">
        <v>3.8</v>
      </c>
      <c r="D527" s="31" t="s">
        <v>399</v>
      </c>
      <c r="E527" t="s">
        <v>71</v>
      </c>
      <c r="F527" s="28"/>
      <c r="G527" s="209">
        <v>1</v>
      </c>
      <c r="H527" s="15">
        <v>653.65</v>
      </c>
      <c r="I527" s="28"/>
      <c r="J527" s="109">
        <f>(Table3[[#This Row],[QTY]]*Table3[[#This Row],[Supplies Cost]])+Table3[[#This Row],[Tax/Fees]]</f>
        <v>653.65</v>
      </c>
      <c r="L527" s="4" t="s">
        <v>33</v>
      </c>
      <c r="M527" s="1" t="s">
        <v>47</v>
      </c>
      <c r="N527" s="31"/>
      <c r="O527" s="31"/>
      <c r="P527" s="31"/>
      <c r="Q527" s="31"/>
      <c r="R527" s="31">
        <v>3.82</v>
      </c>
      <c r="S527" s="31"/>
      <c r="T527" s="31" t="s">
        <v>160</v>
      </c>
      <c r="U527" s="31" t="str">
        <f>LEFT(Table3[[#This Row],[Stage]],FIND(".",Table3[[#This Row],[Stage]],1)-1)</f>
        <v>3</v>
      </c>
      <c r="V527" s="31" t="str">
        <f>VLOOKUP(ABS(Table3[[#This Row],[Type]]),[1]!Table9[#All],2)</f>
        <v>Masonary</v>
      </c>
    </row>
    <row r="528" spans="1:22" x14ac:dyDescent="0.45">
      <c r="A528" s="215">
        <v>44681</v>
      </c>
      <c r="B528" t="s">
        <v>604</v>
      </c>
      <c r="C528" s="34">
        <v>3.8</v>
      </c>
      <c r="D528" s="31" t="s">
        <v>399</v>
      </c>
      <c r="E528" t="s">
        <v>71</v>
      </c>
      <c r="F528" s="28"/>
      <c r="G528" s="209">
        <v>1</v>
      </c>
      <c r="H528" s="15">
        <v>105.91</v>
      </c>
      <c r="I528" s="28"/>
      <c r="J528" s="109">
        <f>(Table3[[#This Row],[QTY]]*Table3[[#This Row],[Supplies Cost]])+Table3[[#This Row],[Tax/Fees]]</f>
        <v>105.91</v>
      </c>
      <c r="L528" s="4" t="s">
        <v>33</v>
      </c>
      <c r="M528" s="1" t="s">
        <v>47</v>
      </c>
      <c r="N528" s="31"/>
      <c r="O528" s="31"/>
      <c r="P528" s="31"/>
      <c r="Q528" s="31"/>
      <c r="R528" s="31">
        <v>3.8250000000000002</v>
      </c>
      <c r="S528" s="31"/>
      <c r="T528" s="31" t="s">
        <v>160</v>
      </c>
      <c r="U528" s="31" t="str">
        <f>LEFT(Table3[[#This Row],[Stage]],FIND(".",Table3[[#This Row],[Stage]],1)-1)</f>
        <v>3</v>
      </c>
      <c r="V528" s="31" t="str">
        <f>VLOOKUP(ABS(Table3[[#This Row],[Type]]),[1]!Table9[#All],2)</f>
        <v>Masonary</v>
      </c>
    </row>
    <row r="529" spans="1:22" x14ac:dyDescent="0.45">
      <c r="A529" s="215">
        <v>44681</v>
      </c>
      <c r="B529" t="s">
        <v>151</v>
      </c>
      <c r="C529" s="210">
        <v>8.0299999999999994</v>
      </c>
      <c r="D529" s="1" t="s">
        <v>144</v>
      </c>
      <c r="E529" t="s">
        <v>46</v>
      </c>
      <c r="F529" s="28"/>
      <c r="G529" s="213">
        <v>1</v>
      </c>
      <c r="H529" s="15">
        <v>78.5</v>
      </c>
      <c r="I529" s="28"/>
      <c r="J529" s="109">
        <f>(Table3[[#This Row],[QTY]]*Table3[[#This Row],[Supplies Cost]])+Table3[[#This Row],[Tax/Fees]]</f>
        <v>78.5</v>
      </c>
      <c r="L529" s="4" t="s">
        <v>33</v>
      </c>
      <c r="M529" s="1" t="s">
        <v>77</v>
      </c>
      <c r="N529" s="31"/>
      <c r="O529" s="31"/>
      <c r="P529" s="31"/>
      <c r="Q529" s="31"/>
      <c r="R529" s="31">
        <v>8.0329999999999995</v>
      </c>
      <c r="S529" s="31"/>
      <c r="T529" s="31" t="s">
        <v>160</v>
      </c>
      <c r="U529" s="31" t="str">
        <f>LEFT(Table3[[#This Row],[Stage]],FIND(".",Table3[[#This Row],[Stage]],1)-1)</f>
        <v>8</v>
      </c>
      <c r="V529" s="31" t="str">
        <f>VLOOKUP(ABS(Table3[[#This Row],[Type]]),[1]!Table9[#All],2)</f>
        <v>Administrative</v>
      </c>
    </row>
    <row r="530" spans="1:22" x14ac:dyDescent="0.45">
      <c r="A530" s="216">
        <v>44686</v>
      </c>
      <c r="B530" t="s">
        <v>572</v>
      </c>
      <c r="C530" s="57">
        <v>7.8</v>
      </c>
      <c r="D530" s="90" t="s">
        <v>351</v>
      </c>
      <c r="E530" t="s">
        <v>71</v>
      </c>
      <c r="F530" s="28"/>
      <c r="G530" s="209">
        <v>1</v>
      </c>
      <c r="H530" s="25">
        <v>665</v>
      </c>
      <c r="I530" s="28">
        <f>Table3[[#This Row],[Supplies Cost]]*$I$5</f>
        <v>116.37499999999999</v>
      </c>
      <c r="J530" s="109">
        <f>(Table3[[#This Row],[QTY]]*Table3[[#This Row],[Supplies Cost]])+Table3[[#This Row],[Tax/Fees]]</f>
        <v>781.375</v>
      </c>
      <c r="L530" s="4" t="s">
        <v>33</v>
      </c>
      <c r="M530" s="1" t="s">
        <v>47</v>
      </c>
      <c r="N530" s="31"/>
      <c r="O530" s="31"/>
      <c r="P530" s="31"/>
      <c r="Q530" s="31"/>
      <c r="R530" s="31">
        <v>7.82</v>
      </c>
      <c r="S530" s="31"/>
      <c r="T530" s="31" t="s">
        <v>160</v>
      </c>
      <c r="U530" s="31" t="str">
        <f>LEFT(Table3[[#This Row],[Stage]],FIND(".",Table3[[#This Row],[Stage]],1)-1)</f>
        <v>7</v>
      </c>
      <c r="V530" s="31" t="str">
        <f>VLOOKUP(ABS(Table3[[#This Row],[Type]]),[1]!Table9[#All],2)</f>
        <v>Carpentry</v>
      </c>
    </row>
    <row r="531" spans="1:22" x14ac:dyDescent="0.45">
      <c r="A531" s="216">
        <v>44686</v>
      </c>
      <c r="B531" t="s">
        <v>605</v>
      </c>
      <c r="C531" s="57">
        <v>13.4</v>
      </c>
      <c r="D531" s="90" t="s">
        <v>399</v>
      </c>
      <c r="E531" t="s">
        <v>71</v>
      </c>
      <c r="F531" s="58"/>
      <c r="G531" s="209">
        <v>1</v>
      </c>
      <c r="H531" s="56">
        <v>216.86</v>
      </c>
      <c r="I531" s="28">
        <f>Table3[[#This Row],[Supplies Cost]]*$I$5</f>
        <v>37.950499999999998</v>
      </c>
      <c r="J531" s="109">
        <f>(Table3[[#This Row],[QTY]]*Table3[[#This Row],[Supplies Cost]])+Table3[[#This Row],[Tax/Fees]]</f>
        <v>254.81050000000002</v>
      </c>
      <c r="L531" s="4" t="s">
        <v>33</v>
      </c>
      <c r="M531" s="1" t="s">
        <v>47</v>
      </c>
      <c r="N531" s="31"/>
      <c r="O531" s="31"/>
      <c r="P531" s="31"/>
      <c r="Q531" s="31"/>
      <c r="R531" s="31">
        <v>13.414999999999999</v>
      </c>
      <c r="S531" s="31"/>
      <c r="T531" s="31" t="s">
        <v>53</v>
      </c>
      <c r="U531" s="31" t="str">
        <f>LEFT(Table3[[#This Row],[Stage]],FIND(".",Table3[[#This Row],[Stage]],1)-1)</f>
        <v>13</v>
      </c>
      <c r="V531" s="31" t="str">
        <f>VLOOKUP(ABS(Table3[[#This Row],[Type]]),[1]!Table9[#All],2)</f>
        <v>Electrical</v>
      </c>
    </row>
    <row r="532" spans="1:22" x14ac:dyDescent="0.45">
      <c r="A532" s="55">
        <v>44686</v>
      </c>
      <c r="B532" t="s">
        <v>606</v>
      </c>
      <c r="C532" s="34">
        <v>3.8</v>
      </c>
      <c r="D532" s="31" t="s">
        <v>399</v>
      </c>
      <c r="E532" s="56" t="s">
        <v>71</v>
      </c>
      <c r="F532" s="28"/>
      <c r="G532" s="149">
        <v>1</v>
      </c>
      <c r="H532" s="217">
        <v>200</v>
      </c>
      <c r="I532" s="28">
        <f>Table3[[#This Row],[Supplies Cost]]*$I$5</f>
        <v>35</v>
      </c>
      <c r="J532" s="109">
        <f>(Table3[[#This Row],[QTY]]*Table3[[#This Row],[Supplies Cost]])+Table3[[#This Row],[Tax/Fees]]</f>
        <v>235</v>
      </c>
      <c r="L532" s="4" t="s">
        <v>33</v>
      </c>
      <c r="M532" s="1" t="s">
        <v>47</v>
      </c>
      <c r="N532" s="31"/>
      <c r="O532" s="31"/>
      <c r="P532" s="31"/>
      <c r="Q532" s="31"/>
      <c r="R532" s="31">
        <v>3.81</v>
      </c>
      <c r="S532" s="31"/>
      <c r="T532" s="31" t="s">
        <v>160</v>
      </c>
      <c r="U532" s="31" t="str">
        <f>LEFT(Table3[[#This Row],[Stage]],FIND(".",Table3[[#This Row],[Stage]],1)-1)</f>
        <v>3</v>
      </c>
      <c r="V532" s="31" t="str">
        <f>VLOOKUP(ABS(Table3[[#This Row],[Type]]),[1]!Table9[#All],2)</f>
        <v>Masonary</v>
      </c>
    </row>
    <row r="533" spans="1:22" x14ac:dyDescent="0.45">
      <c r="A533" s="216">
        <v>44686</v>
      </c>
      <c r="B533" t="s">
        <v>50</v>
      </c>
      <c r="C533" s="25">
        <v>10.38</v>
      </c>
      <c r="D533" s="31" t="s">
        <v>607</v>
      </c>
      <c r="E533" t="s">
        <v>71</v>
      </c>
      <c r="F533" s="28"/>
      <c r="G533" s="209">
        <v>1</v>
      </c>
      <c r="H533" s="25">
        <v>500</v>
      </c>
      <c r="I533" s="28">
        <f>Table3[[#This Row],[Supplies Cost]]*$I$5</f>
        <v>87.5</v>
      </c>
      <c r="J533" s="109">
        <f>(Table3[[#This Row],[QTY]]*Table3[[#This Row],[Supplies Cost]])+Table3[[#This Row],[Tax/Fees]]</f>
        <v>587.5</v>
      </c>
      <c r="L533" s="4" t="s">
        <v>33</v>
      </c>
      <c r="M533" s="1" t="s">
        <v>47</v>
      </c>
      <c r="N533" s="31"/>
      <c r="O533" s="31"/>
      <c r="P533" s="31"/>
      <c r="Q533" s="31"/>
      <c r="R533" s="31">
        <v>10.3825</v>
      </c>
      <c r="S533" s="31"/>
      <c r="T533" s="31" t="s">
        <v>50</v>
      </c>
      <c r="U533" s="31" t="str">
        <f>LEFT(Table3[[#This Row],[Stage]],FIND(".",Table3[[#This Row],[Stage]],1)-1)</f>
        <v>10</v>
      </c>
      <c r="V533" s="31" t="str">
        <f>VLOOKUP(ABS(Table3[[#This Row],[Type]]),[1]!Table9[#All],2)</f>
        <v>Plumbing</v>
      </c>
    </row>
    <row r="534" spans="1:22" x14ac:dyDescent="0.45">
      <c r="A534" s="218">
        <v>44686</v>
      </c>
      <c r="B534" t="s">
        <v>121</v>
      </c>
      <c r="C534" s="34">
        <v>1.1100000000000001</v>
      </c>
      <c r="D534" s="27" t="s">
        <v>122</v>
      </c>
      <c r="E534" t="s">
        <v>123</v>
      </c>
      <c r="F534" s="28"/>
      <c r="G534" s="213">
        <v>1</v>
      </c>
      <c r="H534" s="28">
        <v>42000</v>
      </c>
      <c r="I534" s="28">
        <v>-131.25</v>
      </c>
      <c r="J534" s="109">
        <f>(Table3[[#This Row],[QTY]]*Table3[[#This Row],[Supplies Cost]])+Table3[[#This Row],[Tax/Fees]]</f>
        <v>41868.75</v>
      </c>
      <c r="L534" s="4" t="s">
        <v>33</v>
      </c>
      <c r="M534" s="1" t="s">
        <v>124</v>
      </c>
      <c r="N534" s="31"/>
      <c r="O534" s="31"/>
      <c r="P534" s="31"/>
      <c r="Q534" s="31"/>
      <c r="R534" s="31"/>
      <c r="S534" s="31"/>
      <c r="T534" s="31" t="s">
        <v>60</v>
      </c>
      <c r="U534" s="31" t="str">
        <f>LEFT(Table3[[#This Row],[Stage]],FIND(".",Table3[[#This Row],[Stage]],1)-1)</f>
        <v>1</v>
      </c>
      <c r="V534" s="31" t="str">
        <f>VLOOKUP(ABS(Table3[[#This Row],[Type]]),[1]!Table9[#All],2)</f>
        <v>Transfers</v>
      </c>
    </row>
    <row r="535" spans="1:22" x14ac:dyDescent="0.45">
      <c r="A535" s="218">
        <v>44691</v>
      </c>
      <c r="B535" t="s">
        <v>339</v>
      </c>
      <c r="C535" s="34">
        <v>3.16</v>
      </c>
      <c r="D535" s="27" t="s">
        <v>431</v>
      </c>
      <c r="E535" t="s">
        <v>71</v>
      </c>
      <c r="F535" s="28"/>
      <c r="G535" s="209">
        <v>1</v>
      </c>
      <c r="H535" s="28">
        <v>297.86</v>
      </c>
      <c r="I535" s="28"/>
      <c r="J535" s="109">
        <f>(Table3[[#This Row],[QTY]]*Table3[[#This Row],[Supplies Cost]])+Table3[[#This Row],[Tax/Fees]]</f>
        <v>297.86</v>
      </c>
      <c r="L535" s="4" t="s">
        <v>33</v>
      </c>
      <c r="M535" s="1" t="s">
        <v>47</v>
      </c>
      <c r="N535" s="31"/>
      <c r="O535" s="31"/>
      <c r="P535" s="31"/>
      <c r="Q535" s="31"/>
      <c r="R535" s="31">
        <v>3.1629999999999998</v>
      </c>
      <c r="S535" s="31"/>
      <c r="T535" s="31" t="s">
        <v>160</v>
      </c>
      <c r="U535" s="31" t="str">
        <f>LEFT(Table3[[#This Row],[Stage]],FIND(".",Table3[[#This Row],[Stage]],1)-1)</f>
        <v>3</v>
      </c>
      <c r="V535" s="31" t="str">
        <f>VLOOKUP(ABS(Table3[[#This Row],[Type]]),[1]!Table9[#All],2)</f>
        <v>Masonary</v>
      </c>
    </row>
    <row r="536" spans="1:22" x14ac:dyDescent="0.45">
      <c r="A536" s="218">
        <v>44691</v>
      </c>
      <c r="B536" t="s">
        <v>608</v>
      </c>
      <c r="C536" s="34">
        <v>3.8</v>
      </c>
      <c r="D536" s="27" t="s">
        <v>358</v>
      </c>
      <c r="E536" t="s">
        <v>71</v>
      </c>
      <c r="F536" s="28"/>
      <c r="G536" s="209">
        <v>1</v>
      </c>
      <c r="H536" s="28">
        <v>24.98</v>
      </c>
      <c r="I536" s="28">
        <v>4.37</v>
      </c>
      <c r="J536" s="109">
        <f>(Table3[[#This Row],[QTY]]*Table3[[#This Row],[Supplies Cost]])+Table3[[#This Row],[Tax/Fees]]</f>
        <v>29.35</v>
      </c>
      <c r="L536" s="4" t="s">
        <v>33</v>
      </c>
      <c r="M536" s="1" t="s">
        <v>47</v>
      </c>
      <c r="N536" s="31"/>
      <c r="O536" s="31"/>
      <c r="P536" s="31" t="s">
        <v>49</v>
      </c>
      <c r="Q536" s="31"/>
      <c r="R536" s="31">
        <v>3.81</v>
      </c>
      <c r="S536" s="31"/>
      <c r="T536" s="31" t="s">
        <v>526</v>
      </c>
      <c r="U536" s="31" t="str">
        <f>LEFT(Table3[[#This Row],[Stage]],FIND(".",Table3[[#This Row],[Stage]],1)-1)</f>
        <v>3</v>
      </c>
      <c r="V536" s="31" t="str">
        <f>VLOOKUP(ABS(Table3[[#This Row],[Type]]),[1]!Table9[#All],2)</f>
        <v>Masonary</v>
      </c>
    </row>
    <row r="537" spans="1:22" x14ac:dyDescent="0.45">
      <c r="A537" s="218">
        <v>44691</v>
      </c>
      <c r="B537" t="s">
        <v>609</v>
      </c>
      <c r="C537" s="57">
        <v>7.9</v>
      </c>
      <c r="D537" s="31" t="s">
        <v>399</v>
      </c>
      <c r="E537" s="25" t="s">
        <v>116</v>
      </c>
      <c r="F537" s="28"/>
      <c r="G537" s="219">
        <v>1</v>
      </c>
      <c r="H537" s="28">
        <v>378.35</v>
      </c>
      <c r="I537" s="28"/>
      <c r="J537" s="109">
        <f>(Table3[[#This Row],[QTY]]*Table3[[#This Row],[Supplies Cost]])+Table3[[#This Row],[Tax/Fees]]</f>
        <v>378.35</v>
      </c>
      <c r="L537" s="4" t="s">
        <v>33</v>
      </c>
      <c r="M537" s="1" t="s">
        <v>77</v>
      </c>
      <c r="N537" s="31"/>
      <c r="O537" s="31"/>
      <c r="P537" s="31"/>
      <c r="Q537" s="31"/>
      <c r="R537" s="31">
        <v>7.91</v>
      </c>
      <c r="S537" s="31"/>
      <c r="T537" s="31" t="s">
        <v>160</v>
      </c>
      <c r="U537" s="31" t="str">
        <f>LEFT(Table3[[#This Row],[Stage]],FIND(".",Table3[[#This Row],[Stage]],1)-1)</f>
        <v>7</v>
      </c>
      <c r="V537" s="31" t="str">
        <f>VLOOKUP(ABS(Table3[[#This Row],[Type]]),[1]!Table9[#All],2)</f>
        <v>Carpentry</v>
      </c>
    </row>
    <row r="538" spans="1:22" x14ac:dyDescent="0.45">
      <c r="A538" s="218">
        <v>44692</v>
      </c>
      <c r="B538" t="s">
        <v>300</v>
      </c>
      <c r="C538" s="57">
        <v>5.64</v>
      </c>
      <c r="D538" s="31" t="s">
        <v>45</v>
      </c>
      <c r="E538" t="s">
        <v>116</v>
      </c>
      <c r="F538" s="49"/>
      <c r="G538" s="209">
        <v>1</v>
      </c>
      <c r="H538" s="28">
        <v>141</v>
      </c>
      <c r="I538" s="28"/>
      <c r="J538" s="109">
        <f>(Table3[[#This Row],[QTY]]*Table3[[#This Row],[Supplies Cost]])+Table3[[#This Row],[Tax/Fees]]</f>
        <v>141</v>
      </c>
      <c r="K538" s="203">
        <v>519.35</v>
      </c>
      <c r="L538" s="4" t="s">
        <v>33</v>
      </c>
      <c r="M538" s="1" t="s">
        <v>77</v>
      </c>
      <c r="N538" s="31"/>
      <c r="O538" s="31"/>
      <c r="P538" s="31"/>
      <c r="Q538" s="31"/>
      <c r="R538" s="31">
        <v>5.6440000000000001</v>
      </c>
      <c r="S538" s="31"/>
      <c r="T538" s="31" t="s">
        <v>160</v>
      </c>
      <c r="U538" s="31" t="str">
        <f>LEFT(Table3[[#This Row],[Stage]],FIND(".",Table3[[#This Row],[Stage]],1)-1)</f>
        <v>5</v>
      </c>
      <c r="V538" s="31" t="str">
        <f>VLOOKUP(ABS(Table3[[#This Row],[Type]]),[1]!Table9[#All],2)</f>
        <v>Earthworks</v>
      </c>
    </row>
    <row r="539" spans="1:22" x14ac:dyDescent="0.45">
      <c r="A539" s="218">
        <v>44692</v>
      </c>
      <c r="B539" t="s">
        <v>610</v>
      </c>
      <c r="C539" s="57">
        <v>3.8</v>
      </c>
      <c r="D539" s="27" t="s">
        <v>358</v>
      </c>
      <c r="E539" t="s">
        <v>611</v>
      </c>
      <c r="F539" s="28"/>
      <c r="G539" s="209">
        <v>5</v>
      </c>
      <c r="H539" s="28">
        <v>26</v>
      </c>
      <c r="I539" s="28"/>
      <c r="J539" s="109">
        <f>(Table3[[#This Row],[QTY]]*Table3[[#This Row],[Supplies Cost]])+Table3[[#This Row],[Tax/Fees]]</f>
        <v>130</v>
      </c>
      <c r="L539" s="4" t="s">
        <v>33</v>
      </c>
      <c r="M539" s="1" t="s">
        <v>47</v>
      </c>
      <c r="N539" s="31"/>
      <c r="O539" s="31"/>
      <c r="P539" s="31" t="s">
        <v>49</v>
      </c>
      <c r="Q539" s="31"/>
      <c r="R539" s="31">
        <v>3.8149999999999999</v>
      </c>
      <c r="S539" s="31"/>
      <c r="T539" s="31" t="s">
        <v>526</v>
      </c>
      <c r="U539" s="31" t="str">
        <f>LEFT(Table3[[#This Row],[Stage]],FIND(".",Table3[[#This Row],[Stage]],1)-1)</f>
        <v>3</v>
      </c>
      <c r="V539" s="31" t="str">
        <f>VLOOKUP(ABS(Table3[[#This Row],[Type]]),[1]!Table9[#All],2)</f>
        <v>Masonary</v>
      </c>
    </row>
    <row r="540" spans="1:22" x14ac:dyDescent="0.45">
      <c r="A540" s="218">
        <v>44693</v>
      </c>
      <c r="B540" t="s">
        <v>610</v>
      </c>
      <c r="C540" s="34">
        <v>3.8</v>
      </c>
      <c r="D540" s="27" t="s">
        <v>358</v>
      </c>
      <c r="E540" t="s">
        <v>611</v>
      </c>
      <c r="F540" s="28"/>
      <c r="G540" s="209">
        <v>1</v>
      </c>
      <c r="H540" s="28">
        <v>26</v>
      </c>
      <c r="I540" s="28"/>
      <c r="J540" s="109">
        <f>(Table3[[#This Row],[QTY]]*Table3[[#This Row],[Supplies Cost]])+Table3[[#This Row],[Tax/Fees]]</f>
        <v>26</v>
      </c>
      <c r="L540" s="4" t="s">
        <v>33</v>
      </c>
      <c r="M540" s="1" t="s">
        <v>47</v>
      </c>
      <c r="N540" s="31"/>
      <c r="O540" s="31"/>
      <c r="P540" s="31" t="s">
        <v>49</v>
      </c>
      <c r="Q540" s="31"/>
      <c r="R540" s="31">
        <v>3.82</v>
      </c>
      <c r="S540" s="31"/>
      <c r="T540" s="31" t="s">
        <v>526</v>
      </c>
      <c r="U540" s="31" t="str">
        <f>LEFT(Table3[[#This Row],[Stage]],FIND(".",Table3[[#This Row],[Stage]],1)-1)</f>
        <v>3</v>
      </c>
      <c r="V540" s="31" t="str">
        <f>VLOOKUP(ABS(Table3[[#This Row],[Type]]),[1]!Table9[#All],2)</f>
        <v>Masonary</v>
      </c>
    </row>
    <row r="541" spans="1:22" x14ac:dyDescent="0.45">
      <c r="A541" s="218">
        <v>44694</v>
      </c>
      <c r="B541" t="s">
        <v>612</v>
      </c>
      <c r="C541" s="34">
        <v>3.8</v>
      </c>
      <c r="D541" s="31" t="s">
        <v>399</v>
      </c>
      <c r="E541" t="s">
        <v>67</v>
      </c>
      <c r="F541" s="28"/>
      <c r="G541" s="209">
        <v>1</v>
      </c>
      <c r="H541" s="28">
        <v>500</v>
      </c>
      <c r="I541" s="28"/>
      <c r="J541" s="109">
        <f>(Table3[[#This Row],[QTY]]*Table3[[#This Row],[Supplies Cost]])+Table3[[#This Row],[Tax/Fees]]</f>
        <v>500</v>
      </c>
      <c r="L541" s="4" t="s">
        <v>33</v>
      </c>
      <c r="M541" s="1" t="s">
        <v>47</v>
      </c>
      <c r="N541" s="31"/>
      <c r="O541" s="31">
        <v>472602</v>
      </c>
      <c r="P541" s="31"/>
      <c r="Q541" s="31"/>
      <c r="R541" s="31">
        <v>3.8450000000000002</v>
      </c>
      <c r="S541" s="31"/>
      <c r="T541" s="31" t="s">
        <v>526</v>
      </c>
      <c r="U541" s="31" t="str">
        <f>LEFT(Table3[[#This Row],[Stage]],FIND(".",Table3[[#This Row],[Stage]],1)-1)</f>
        <v>3</v>
      </c>
      <c r="V541" s="31" t="str">
        <f>VLOOKUP(ABS(Table3[[#This Row],[Type]]),[1]!Table9[#All],2)</f>
        <v>Masonary</v>
      </c>
    </row>
    <row r="542" spans="1:22" x14ac:dyDescent="0.45">
      <c r="A542" s="218">
        <v>44694</v>
      </c>
      <c r="B542" t="s">
        <v>613</v>
      </c>
      <c r="C542" s="34">
        <v>25.1</v>
      </c>
      <c r="D542" s="31" t="s">
        <v>399</v>
      </c>
      <c r="E542" t="s">
        <v>590</v>
      </c>
      <c r="F542" s="28"/>
      <c r="G542" s="209">
        <v>2</v>
      </c>
      <c r="H542" s="28">
        <v>30.6</v>
      </c>
      <c r="I542" s="28">
        <f>$I$5*Table3[[#This Row],[Supplies Cost]]</f>
        <v>5.3549999999999995</v>
      </c>
      <c r="J542" s="109">
        <f>(Table3[[#This Row],[QTY]]*Table3[[#This Row],[Supplies Cost]])+Table3[[#This Row],[Tax/Fees]]</f>
        <v>66.555000000000007</v>
      </c>
      <c r="L542" s="4" t="s">
        <v>33</v>
      </c>
      <c r="M542" s="1" t="s">
        <v>47</v>
      </c>
      <c r="N542" s="31"/>
      <c r="O542" s="31"/>
      <c r="P542" s="31" t="s">
        <v>49</v>
      </c>
      <c r="Q542" s="31"/>
      <c r="R542" s="31">
        <v>25.125</v>
      </c>
      <c r="S542" s="31"/>
      <c r="T542" s="31" t="s">
        <v>568</v>
      </c>
      <c r="U542" s="31" t="str">
        <f>LEFT(Table3[[#This Row],[Stage]],FIND(".",Table3[[#This Row],[Stage]],1)-1)</f>
        <v>25</v>
      </c>
      <c r="V542" s="31" t="str">
        <f>VLOOKUP(ABS(Table3[[#This Row],[Type]]),[1]!Table9[#All],2)</f>
        <v>Tiling</v>
      </c>
    </row>
    <row r="543" spans="1:22" ht="30.75" x14ac:dyDescent="0.45">
      <c r="A543" s="218">
        <v>44695</v>
      </c>
      <c r="B543" t="s">
        <v>614</v>
      </c>
      <c r="C543" s="34">
        <v>7.7</v>
      </c>
      <c r="D543" s="31" t="s">
        <v>399</v>
      </c>
      <c r="E543" t="s">
        <v>71</v>
      </c>
      <c r="F543" s="28"/>
      <c r="G543" s="214">
        <v>30</v>
      </c>
      <c r="H543" s="28">
        <v>109.9</v>
      </c>
      <c r="I543" s="28">
        <f>$I$5*(Table3[[#This Row],[Supplies Cost]]*Table3[[#This Row],[QTY]])</f>
        <v>576.97499999999991</v>
      </c>
      <c r="J543" s="109">
        <f>(Table3[[#This Row],[QTY]]*Table3[[#This Row],[Supplies Cost]])+Table3[[#This Row],[Tax/Fees]]</f>
        <v>3873.9749999999999</v>
      </c>
      <c r="L543" s="4" t="s">
        <v>92</v>
      </c>
      <c r="M543" s="1" t="s">
        <v>47</v>
      </c>
      <c r="N543" s="31"/>
      <c r="O543" s="31" t="s">
        <v>615</v>
      </c>
      <c r="P543" s="31"/>
      <c r="Q543" s="31"/>
      <c r="R543" s="31"/>
      <c r="S543" s="31"/>
      <c r="T543" s="31" t="s">
        <v>616</v>
      </c>
      <c r="U543" s="31" t="str">
        <f>LEFT(Table3[[#This Row],[Stage]],FIND(".",Table3[[#This Row],[Stage]],1)-1)</f>
        <v>7</v>
      </c>
      <c r="V543" s="31" t="str">
        <f>VLOOKUP(ABS(Table3[[#This Row],[Type]]),[1]!Table9[#All],2)</f>
        <v>Carpentry</v>
      </c>
    </row>
    <row r="544" spans="1:22" ht="30.75" x14ac:dyDescent="0.45">
      <c r="A544" s="218">
        <v>44695</v>
      </c>
      <c r="B544" t="s">
        <v>614</v>
      </c>
      <c r="C544" s="34">
        <v>7.7</v>
      </c>
      <c r="D544" s="31" t="s">
        <v>399</v>
      </c>
      <c r="E544" t="s">
        <v>71</v>
      </c>
      <c r="F544" s="28"/>
      <c r="G544" s="214">
        <v>8</v>
      </c>
      <c r="H544" s="28">
        <f>755.78/8</f>
        <v>94.472499999999997</v>
      </c>
      <c r="I544" s="28">
        <f>$I$5*(Table3[[#This Row],[Supplies Cost]]*Table3[[#This Row],[QTY]])</f>
        <v>132.26149999999998</v>
      </c>
      <c r="J544" s="109">
        <f>(Table3[[#This Row],[QTY]]*Table3[[#This Row],[Supplies Cost]])+Table3[[#This Row],[Tax/Fees]]</f>
        <v>888.04149999999993</v>
      </c>
      <c r="L544" s="4" t="s">
        <v>92</v>
      </c>
      <c r="M544" s="1" t="s">
        <v>47</v>
      </c>
      <c r="N544" s="31"/>
      <c r="O544" s="31" t="s">
        <v>615</v>
      </c>
      <c r="P544" s="31"/>
      <c r="Q544" s="31"/>
      <c r="R544" s="31"/>
      <c r="S544" s="31"/>
      <c r="T544" s="31" t="s">
        <v>616</v>
      </c>
      <c r="U544" s="31" t="str">
        <f>LEFT(Table3[[#This Row],[Stage]],FIND(".",Table3[[#This Row],[Stage]],1)-1)</f>
        <v>7</v>
      </c>
      <c r="V544" s="31" t="str">
        <f>VLOOKUP(ABS(Table3[[#This Row],[Type]]),[1]!Table9[#All],2)</f>
        <v>Carpentry</v>
      </c>
    </row>
    <row r="545" spans="1:22" ht="30.75" x14ac:dyDescent="0.45">
      <c r="A545" s="218">
        <v>44695</v>
      </c>
      <c r="B545" t="s">
        <v>617</v>
      </c>
      <c r="C545" s="34">
        <v>7.7</v>
      </c>
      <c r="D545" s="31" t="s">
        <v>399</v>
      </c>
      <c r="E545" t="s">
        <v>71</v>
      </c>
      <c r="F545" s="28"/>
      <c r="G545" s="214">
        <v>1</v>
      </c>
      <c r="H545" s="28">
        <v>10</v>
      </c>
      <c r="I545" s="28">
        <v>1.64</v>
      </c>
      <c r="J545" s="109">
        <f>(Table3[[#This Row],[QTY]]*Table3[[#This Row],[Supplies Cost]])+Table3[[#This Row],[Tax/Fees]]</f>
        <v>11.64</v>
      </c>
      <c r="K545" s="203">
        <v>4773.66</v>
      </c>
      <c r="L545" s="4" t="s">
        <v>33</v>
      </c>
      <c r="M545" s="1" t="s">
        <v>47</v>
      </c>
      <c r="N545" s="31"/>
      <c r="O545" s="31" t="s">
        <v>615</v>
      </c>
      <c r="P545" s="31"/>
      <c r="Q545" s="31"/>
      <c r="R545" s="31">
        <v>7.72</v>
      </c>
      <c r="S545" s="31"/>
      <c r="T545" s="31" t="s">
        <v>616</v>
      </c>
      <c r="U545" s="31" t="str">
        <f>LEFT(Table3[[#This Row],[Stage]],FIND(".",Table3[[#This Row],[Stage]],1)-1)</f>
        <v>7</v>
      </c>
      <c r="V545" s="31" t="str">
        <f>VLOOKUP(ABS(Table3[[#This Row],[Type]]),[1]!Table9[#All],2)</f>
        <v>Carpentry</v>
      </c>
    </row>
    <row r="546" spans="1:22" x14ac:dyDescent="0.45">
      <c r="A546" s="218">
        <v>44695</v>
      </c>
      <c r="B546" t="s">
        <v>618</v>
      </c>
      <c r="C546" s="34">
        <v>25.1</v>
      </c>
      <c r="D546" s="31" t="s">
        <v>399</v>
      </c>
      <c r="E546" t="s">
        <v>619</v>
      </c>
      <c r="F546" s="28"/>
      <c r="G546" s="209">
        <v>6</v>
      </c>
      <c r="H546" s="28">
        <v>26.64</v>
      </c>
      <c r="I546" s="28">
        <f>$I$5*(Table3[[#This Row],[Supplies Cost]]*Table3[[#This Row],[QTY]])</f>
        <v>27.971999999999998</v>
      </c>
      <c r="J546" s="109">
        <f>(Table3[[#This Row],[QTY]]*Table3[[#This Row],[Supplies Cost]])+Table3[[#This Row],[Tax/Fees]]</f>
        <v>187.81200000000001</v>
      </c>
      <c r="L546" s="4" t="s">
        <v>33</v>
      </c>
      <c r="M546" s="1" t="s">
        <v>47</v>
      </c>
      <c r="N546" s="31"/>
      <c r="O546" s="31"/>
      <c r="P546" s="31" t="s">
        <v>49</v>
      </c>
      <c r="Q546" s="31"/>
      <c r="R546" s="31">
        <v>25.13</v>
      </c>
      <c r="S546" s="31"/>
      <c r="T546" s="31" t="s">
        <v>568</v>
      </c>
      <c r="U546" s="31" t="str">
        <f>LEFT(Table3[[#This Row],[Stage]],FIND(".",Table3[[#This Row],[Stage]],1)-1)</f>
        <v>25</v>
      </c>
      <c r="V546" s="31" t="str">
        <f>VLOOKUP(ABS(Table3[[#This Row],[Type]]),[1]!Table9[#All],2)</f>
        <v>Tiling</v>
      </c>
    </row>
    <row r="547" spans="1:22" x14ac:dyDescent="0.45">
      <c r="A547" s="218">
        <v>44695</v>
      </c>
      <c r="B547" t="s">
        <v>618</v>
      </c>
      <c r="C547" s="57">
        <v>25.1</v>
      </c>
      <c r="D547" s="31" t="s">
        <v>399</v>
      </c>
      <c r="E547" t="s">
        <v>619</v>
      </c>
      <c r="F547" s="28"/>
      <c r="G547" s="209">
        <v>1</v>
      </c>
      <c r="H547" s="28">
        <v>26.64</v>
      </c>
      <c r="I547" s="28">
        <f>$I$5*(Table3[[#This Row],[Supplies Cost]]*Table3[[#This Row],[QTY]])</f>
        <v>4.6619999999999999</v>
      </c>
      <c r="J547" s="109">
        <f>(Table3[[#This Row],[QTY]]*Table3[[#This Row],[Supplies Cost]])+Table3[[#This Row],[Tax/Fees]]</f>
        <v>31.302</v>
      </c>
      <c r="L547" s="4" t="s">
        <v>33</v>
      </c>
      <c r="M547" s="1" t="s">
        <v>47</v>
      </c>
      <c r="N547" s="31"/>
      <c r="O547" s="31"/>
      <c r="P547" s="31" t="s">
        <v>49</v>
      </c>
      <c r="Q547" s="31"/>
      <c r="R547" s="31">
        <v>25.135000000000002</v>
      </c>
      <c r="S547" s="31"/>
      <c r="T547" s="31" t="s">
        <v>568</v>
      </c>
      <c r="U547" s="31" t="str">
        <f>LEFT(Table3[[#This Row],[Stage]],FIND(".",Table3[[#This Row],[Stage]],1)-1)</f>
        <v>25</v>
      </c>
      <c r="V547" s="31" t="str">
        <f>VLOOKUP(ABS(Table3[[#This Row],[Type]]),[1]!Table9[#All],2)</f>
        <v>Tiling</v>
      </c>
    </row>
    <row r="548" spans="1:22" ht="30.75" x14ac:dyDescent="0.45">
      <c r="A548" s="218">
        <v>44695</v>
      </c>
      <c r="B548" t="s">
        <v>614</v>
      </c>
      <c r="C548" s="34">
        <v>7.7</v>
      </c>
      <c r="D548" s="31" t="s">
        <v>399</v>
      </c>
      <c r="E548" t="s">
        <v>219</v>
      </c>
      <c r="F548" s="28"/>
      <c r="G548" s="214">
        <v>1</v>
      </c>
      <c r="H548" s="28">
        <v>2702.21</v>
      </c>
      <c r="I548" s="28"/>
      <c r="J548" s="109">
        <f>(Table3[[#This Row],[QTY]]*Table3[[#This Row],[Supplies Cost]])+Table3[[#This Row],[Tax/Fees]]</f>
        <v>2702.21</v>
      </c>
      <c r="L548" s="4" t="s">
        <v>33</v>
      </c>
      <c r="M548" s="1" t="s">
        <v>47</v>
      </c>
      <c r="N548" s="31"/>
      <c r="O548" s="31" t="s">
        <v>615</v>
      </c>
      <c r="P548" s="31"/>
      <c r="Q548" s="31"/>
      <c r="R548" s="31">
        <v>7.71</v>
      </c>
      <c r="S548" s="31"/>
      <c r="T548" s="31" t="s">
        <v>616</v>
      </c>
      <c r="U548" s="31" t="str">
        <f>LEFT(Table3[[#This Row],[Stage]],FIND(".",Table3[[#This Row],[Stage]],1)-1)</f>
        <v>7</v>
      </c>
      <c r="V548" s="31" t="str">
        <f>VLOOKUP(ABS(Table3[[#This Row],[Type]]),[1]!Table9[#All],2)</f>
        <v>Carpentry</v>
      </c>
    </row>
    <row r="549" spans="1:22" x14ac:dyDescent="0.45">
      <c r="A549" s="218">
        <v>44697</v>
      </c>
      <c r="B549" t="s">
        <v>620</v>
      </c>
      <c r="C549" s="34">
        <v>25.1</v>
      </c>
      <c r="D549" s="31" t="s">
        <v>399</v>
      </c>
      <c r="E549" t="s">
        <v>621</v>
      </c>
      <c r="F549" s="28"/>
      <c r="G549" s="209">
        <v>420</v>
      </c>
      <c r="H549" s="28">
        <v>3.37</v>
      </c>
      <c r="I549" s="28">
        <v>255.14</v>
      </c>
      <c r="J549" s="109">
        <f>(Table3[[#This Row],[QTY]]*Table3[[#This Row],[Supplies Cost]])+Table3[[#This Row],[Tax/Fees]]</f>
        <v>1670.54</v>
      </c>
      <c r="L549" s="4" t="s">
        <v>33</v>
      </c>
      <c r="M549" s="1" t="s">
        <v>47</v>
      </c>
      <c r="N549" s="31"/>
      <c r="O549" s="31">
        <v>472604</v>
      </c>
      <c r="P549" s="31"/>
      <c r="Q549" s="31"/>
      <c r="R549" s="31">
        <v>25.11</v>
      </c>
      <c r="S549" s="31"/>
      <c r="T549" s="31" t="s">
        <v>568</v>
      </c>
      <c r="U549" s="31" t="str">
        <f>LEFT(Table3[[#This Row],[Stage]],FIND(".",Table3[[#This Row],[Stage]],1)-1)</f>
        <v>25</v>
      </c>
      <c r="V549" s="31" t="str">
        <f>VLOOKUP(ABS(Table3[[#This Row],[Type]]),[1]!Table9[#All],2)</f>
        <v>Tiling</v>
      </c>
    </row>
    <row r="550" spans="1:22" x14ac:dyDescent="0.45">
      <c r="A550" s="218">
        <v>44697</v>
      </c>
      <c r="B550" t="s">
        <v>622</v>
      </c>
      <c r="C550" s="34">
        <v>25.1</v>
      </c>
      <c r="D550" s="31" t="s">
        <v>399</v>
      </c>
      <c r="E550" t="s">
        <v>621</v>
      </c>
      <c r="F550" s="28"/>
      <c r="G550" s="209">
        <v>1</v>
      </c>
      <c r="H550" s="28">
        <v>42.55</v>
      </c>
      <c r="I550" s="28"/>
      <c r="J550" s="109">
        <f>(Table3[[#This Row],[QTY]]*Table3[[#This Row],[Supplies Cost]])+Table3[[#This Row],[Tax/Fees]]</f>
        <v>42.55</v>
      </c>
      <c r="L550" s="4" t="s">
        <v>33</v>
      </c>
      <c r="M550" s="1" t="s">
        <v>47</v>
      </c>
      <c r="N550" s="31"/>
      <c r="O550" s="31">
        <v>472604</v>
      </c>
      <c r="P550" s="31"/>
      <c r="Q550" s="31"/>
      <c r="R550" s="31">
        <v>25.114999999999998</v>
      </c>
      <c r="S550" s="31"/>
      <c r="T550" s="31" t="s">
        <v>568</v>
      </c>
      <c r="U550" s="31" t="str">
        <f>LEFT(Table3[[#This Row],[Stage]],FIND(".",Table3[[#This Row],[Stage]],1)-1)</f>
        <v>25</v>
      </c>
      <c r="V550" s="31" t="str">
        <f>VLOOKUP(ABS(Table3[[#This Row],[Type]]),[1]!Table9[#All],2)</f>
        <v>Tiling</v>
      </c>
    </row>
    <row r="551" spans="1:22" x14ac:dyDescent="0.45">
      <c r="A551" s="218">
        <v>44699</v>
      </c>
      <c r="B551" t="s">
        <v>623</v>
      </c>
      <c r="C551" s="57">
        <v>3.8</v>
      </c>
      <c r="D551" s="27" t="s">
        <v>358</v>
      </c>
      <c r="E551" t="s">
        <v>567</v>
      </c>
      <c r="F551" s="28"/>
      <c r="G551" s="214">
        <v>1</v>
      </c>
      <c r="H551" s="28">
        <f>11.9+7.65</f>
        <v>19.55</v>
      </c>
      <c r="I551" s="28">
        <f>$I$5*(Table3[[#This Row],[Supplies Cost]]*Table3[[#This Row],[QTY]])</f>
        <v>3.4212500000000001</v>
      </c>
      <c r="J551" s="109">
        <f>(Table3[[#This Row],[QTY]]*Table3[[#This Row],[Supplies Cost]])+Table3[[#This Row],[Tax/Fees]]</f>
        <v>22.971250000000001</v>
      </c>
      <c r="L551" s="4" t="s">
        <v>92</v>
      </c>
      <c r="M551" s="1" t="s">
        <v>47</v>
      </c>
      <c r="N551" s="31"/>
      <c r="O551" s="31">
        <v>69754</v>
      </c>
      <c r="P551" s="31" t="s">
        <v>49</v>
      </c>
      <c r="Q551" s="31"/>
      <c r="R551" s="31"/>
      <c r="S551" s="31"/>
      <c r="T551" s="31" t="s">
        <v>160</v>
      </c>
      <c r="U551" s="31" t="str">
        <f>LEFT(Table3[[#This Row],[Stage]],FIND(".",Table3[[#This Row],[Stage]],1)-1)</f>
        <v>3</v>
      </c>
      <c r="V551" s="31" t="str">
        <f>VLOOKUP(ABS(Table3[[#This Row],[Type]]),[1]!Table9[#All],2)</f>
        <v>Masonary</v>
      </c>
    </row>
    <row r="552" spans="1:22" x14ac:dyDescent="0.45">
      <c r="A552" s="218">
        <v>44699</v>
      </c>
      <c r="B552" t="s">
        <v>624</v>
      </c>
      <c r="C552" s="34">
        <v>7.7</v>
      </c>
      <c r="D552" s="31" t="s">
        <v>399</v>
      </c>
      <c r="E552" t="s">
        <v>71</v>
      </c>
      <c r="F552" s="28"/>
      <c r="G552" s="214">
        <v>1</v>
      </c>
      <c r="H552" s="28">
        <v>451.76</v>
      </c>
      <c r="I552" s="28"/>
      <c r="J552" s="109">
        <f>(Table3[[#This Row],[QTY]]*Table3[[#This Row],[Supplies Cost]])+Table3[[#This Row],[Tax/Fees]]</f>
        <v>451.76</v>
      </c>
      <c r="L552" s="4" t="s">
        <v>33</v>
      </c>
      <c r="M552" s="1" t="s">
        <v>47</v>
      </c>
      <c r="N552" s="31"/>
      <c r="O552" s="31"/>
      <c r="P552" s="31"/>
      <c r="Q552" s="31"/>
      <c r="R552" s="31">
        <v>7.74</v>
      </c>
      <c r="S552" s="31"/>
      <c r="T552" s="31" t="s">
        <v>160</v>
      </c>
      <c r="U552" s="31" t="str">
        <f>LEFT(Table3[[#This Row],[Stage]],FIND(".",Table3[[#This Row],[Stage]],1)-1)</f>
        <v>7</v>
      </c>
      <c r="V552" s="31" t="str">
        <f>VLOOKUP(ABS(Table3[[#This Row],[Type]]),[1]!Table9[#All],2)</f>
        <v>Carpentry</v>
      </c>
    </row>
    <row r="553" spans="1:22" x14ac:dyDescent="0.45">
      <c r="A553" s="218">
        <v>44699</v>
      </c>
      <c r="B553" t="s">
        <v>625</v>
      </c>
      <c r="C553" s="34">
        <v>25.1</v>
      </c>
      <c r="D553" s="31" t="s">
        <v>399</v>
      </c>
      <c r="E553" t="s">
        <v>567</v>
      </c>
      <c r="F553" s="28"/>
      <c r="G553" s="214">
        <v>1</v>
      </c>
      <c r="H553" s="28">
        <v>102.06</v>
      </c>
      <c r="I553" s="28">
        <f>$I$5*(Table3[[#This Row],[Supplies Cost]]*Table3[[#This Row],[QTY]])</f>
        <v>17.860499999999998</v>
      </c>
      <c r="J553" s="109">
        <f>(Table3[[#This Row],[QTY]]*Table3[[#This Row],[Supplies Cost]])+Table3[[#This Row],[Tax/Fees]]</f>
        <v>119.9205</v>
      </c>
      <c r="K553" s="203">
        <v>142.88999999999999</v>
      </c>
      <c r="L553" s="4" t="s">
        <v>33</v>
      </c>
      <c r="M553" s="1" t="s">
        <v>47</v>
      </c>
      <c r="N553" s="31"/>
      <c r="O553" s="31">
        <v>69754</v>
      </c>
      <c r="P553" s="31" t="s">
        <v>49</v>
      </c>
      <c r="Q553" s="31"/>
      <c r="R553" s="31">
        <v>25.114999999999998</v>
      </c>
      <c r="S553" s="31"/>
      <c r="T553" s="31" t="s">
        <v>568</v>
      </c>
      <c r="U553" s="31" t="str">
        <f>LEFT(Table3[[#This Row],[Stage]],FIND(".",Table3[[#This Row],[Stage]],1)-1)</f>
        <v>25</v>
      </c>
      <c r="V553" s="31" t="str">
        <f>VLOOKUP(ABS(Table3[[#This Row],[Type]]),[1]!Table9[#All],2)</f>
        <v>Tiling</v>
      </c>
    </row>
    <row r="554" spans="1:22" x14ac:dyDescent="0.45">
      <c r="A554" s="218">
        <v>44700</v>
      </c>
      <c r="B554" t="s">
        <v>626</v>
      </c>
      <c r="C554" s="34">
        <v>3.8</v>
      </c>
      <c r="D554" s="27" t="s">
        <v>358</v>
      </c>
      <c r="E554" t="s">
        <v>71</v>
      </c>
      <c r="F554" s="28"/>
      <c r="G554" s="214">
        <v>1</v>
      </c>
      <c r="H554" s="28">
        <v>736.62</v>
      </c>
      <c r="I554" s="28"/>
      <c r="J554" s="109">
        <f>(Table3[[#This Row],[QTY]]*Table3[[#This Row],[Supplies Cost]])+Table3[[#This Row],[Tax/Fees]]</f>
        <v>736.62</v>
      </c>
      <c r="L554" s="4" t="s">
        <v>33</v>
      </c>
      <c r="M554" s="1" t="s">
        <v>47</v>
      </c>
      <c r="N554" s="31"/>
      <c r="O554" s="1"/>
      <c r="P554" s="31"/>
      <c r="Q554" s="31"/>
      <c r="R554" s="31">
        <v>3.835</v>
      </c>
      <c r="S554" s="31"/>
      <c r="T554" s="31" t="s">
        <v>160</v>
      </c>
      <c r="U554" s="31" t="str">
        <f>LEFT(Table3[[#This Row],[Stage]],FIND(".",Table3[[#This Row],[Stage]],1)-1)</f>
        <v>3</v>
      </c>
      <c r="V554" s="31" t="str">
        <f>VLOOKUP(ABS(Table3[[#This Row],[Type]]),[1]!Table9[#All],2)</f>
        <v>Masonary</v>
      </c>
    </row>
    <row r="555" spans="1:22" x14ac:dyDescent="0.45">
      <c r="A555" s="218">
        <v>44700</v>
      </c>
      <c r="B555" t="s">
        <v>627</v>
      </c>
      <c r="C555" s="34">
        <v>25.1</v>
      </c>
      <c r="D555" s="31" t="s">
        <v>399</v>
      </c>
      <c r="E555" t="s">
        <v>71</v>
      </c>
      <c r="F555" s="28"/>
      <c r="G555" s="214">
        <v>1</v>
      </c>
      <c r="H555" s="28">
        <v>22.16</v>
      </c>
      <c r="I555" s="28">
        <f>$I$5*(Table3[[#This Row],[Supplies Cost]]*Table3[[#This Row],[QTY]])</f>
        <v>3.8779999999999997</v>
      </c>
      <c r="J555" s="109">
        <f>(Table3[[#This Row],[QTY]]*Table3[[#This Row],[Supplies Cost]])+Table3[[#This Row],[Tax/Fees]]</f>
        <v>26.038</v>
      </c>
      <c r="L555" s="4" t="s">
        <v>33</v>
      </c>
      <c r="M555" s="1" t="s">
        <v>47</v>
      </c>
      <c r="N555" s="31"/>
      <c r="O555" s="1"/>
      <c r="P555" s="31" t="s">
        <v>49</v>
      </c>
      <c r="Q555" s="31"/>
      <c r="R555" s="31">
        <v>25.11</v>
      </c>
      <c r="S555" s="31"/>
      <c r="T555" s="31" t="s">
        <v>568</v>
      </c>
      <c r="U555" s="31" t="str">
        <f>LEFT(Table3[[#This Row],[Stage]],FIND(".",Table3[[#This Row],[Stage]],1)-1)</f>
        <v>25</v>
      </c>
      <c r="V555" s="31" t="str">
        <f>VLOOKUP(ABS(Table3[[#This Row],[Type]]),[1]!Table9[#All],2)</f>
        <v>Tiling</v>
      </c>
    </row>
    <row r="556" spans="1:22" x14ac:dyDescent="0.45">
      <c r="A556" s="218">
        <v>44700</v>
      </c>
      <c r="B556" t="s">
        <v>628</v>
      </c>
      <c r="C556" s="34">
        <v>25.1</v>
      </c>
      <c r="D556" s="31" t="s">
        <v>399</v>
      </c>
      <c r="E556" t="s">
        <v>590</v>
      </c>
      <c r="F556" s="28"/>
      <c r="G556" s="214">
        <v>1</v>
      </c>
      <c r="H556" s="28">
        <v>0</v>
      </c>
      <c r="I556" s="28">
        <f>$I$5*(Table3[[#This Row],[Supplies Cost]]*Table3[[#This Row],[QTY]])</f>
        <v>0</v>
      </c>
      <c r="J556" s="109">
        <f>(Table3[[#This Row],[QTY]]*Table3[[#This Row],[Supplies Cost]])+Table3[[#This Row],[Tax/Fees]]</f>
        <v>0</v>
      </c>
      <c r="L556" s="4" t="s">
        <v>33</v>
      </c>
      <c r="M556" s="1" t="s">
        <v>47</v>
      </c>
      <c r="N556" s="31"/>
      <c r="O556" s="1"/>
      <c r="P556" s="31" t="s">
        <v>49</v>
      </c>
      <c r="Q556" s="31"/>
      <c r="R556" s="31">
        <v>25.114999999999998</v>
      </c>
      <c r="S556" s="31"/>
      <c r="T556" s="31" t="s">
        <v>568</v>
      </c>
      <c r="U556" s="31" t="str">
        <f>LEFT(Table3[[#This Row],[Stage]],FIND(".",Table3[[#This Row],[Stage]],1)-1)</f>
        <v>25</v>
      </c>
      <c r="V556" s="31" t="str">
        <f>VLOOKUP(ABS(Table3[[#This Row],[Type]]),[1]!Table9[#All],2)</f>
        <v>Tiling</v>
      </c>
    </row>
    <row r="557" spans="1:22" x14ac:dyDescent="0.45">
      <c r="A557" s="218">
        <v>44701</v>
      </c>
      <c r="B557" t="s">
        <v>570</v>
      </c>
      <c r="C557" s="34">
        <v>25.1</v>
      </c>
      <c r="D557" s="31" t="s">
        <v>399</v>
      </c>
      <c r="E557" t="s">
        <v>71</v>
      </c>
      <c r="F557" s="28"/>
      <c r="G557" s="214">
        <v>1</v>
      </c>
      <c r="H557" s="28">
        <v>1090.05</v>
      </c>
      <c r="I557" s="28"/>
      <c r="J557" s="109">
        <f>(Table3[[#This Row],[QTY]]*Table3[[#This Row],[Supplies Cost]])+Table3[[#This Row],[Tax/Fees]]</f>
        <v>1090.05</v>
      </c>
      <c r="L557" s="4" t="s">
        <v>33</v>
      </c>
      <c r="M557" s="1" t="s">
        <v>47</v>
      </c>
      <c r="N557" s="31"/>
      <c r="O557" s="1"/>
      <c r="P557" s="31"/>
      <c r="Q557" s="31"/>
      <c r="R557" s="31">
        <v>25.145</v>
      </c>
      <c r="S557" s="31"/>
      <c r="T557" s="31" t="s">
        <v>568</v>
      </c>
      <c r="U557" s="31" t="str">
        <f>LEFT(Table3[[#This Row],[Stage]],FIND(".",Table3[[#This Row],[Stage]],1)-1)</f>
        <v>25</v>
      </c>
      <c r="V557" s="31" t="str">
        <f>VLOOKUP(ABS(Table3[[#This Row],[Type]]),[1]!Table9[#All],2)</f>
        <v>Tiling</v>
      </c>
    </row>
    <row r="558" spans="1:22" x14ac:dyDescent="0.45">
      <c r="A558" s="218">
        <v>44704</v>
      </c>
      <c r="B558" t="s">
        <v>586</v>
      </c>
      <c r="C558" s="25">
        <v>7.95</v>
      </c>
      <c r="D558" s="27" t="s">
        <v>489</v>
      </c>
      <c r="E558" t="s">
        <v>69</v>
      </c>
      <c r="F558" s="28"/>
      <c r="G558" s="214">
        <v>1</v>
      </c>
      <c r="H558" s="28">
        <f>25030-24279.1</f>
        <v>750.90000000000146</v>
      </c>
      <c r="I558" s="28"/>
      <c r="J558" s="109">
        <f>(Table3[[#This Row],[QTY]]*Table3[[#This Row],[Supplies Cost]])+Table3[[#This Row],[Tax/Fees]]</f>
        <v>750.90000000000146</v>
      </c>
      <c r="L558" s="4" t="s">
        <v>92</v>
      </c>
      <c r="M558" s="1" t="s">
        <v>34</v>
      </c>
      <c r="N558" s="31"/>
      <c r="O558" s="25">
        <v>22051901</v>
      </c>
      <c r="P558" s="31"/>
      <c r="Q558" s="31"/>
      <c r="R558" s="31"/>
      <c r="S558" s="31"/>
      <c r="T558" s="31" t="s">
        <v>280</v>
      </c>
      <c r="U558" s="31" t="str">
        <f>LEFT(Table3[[#This Row],[Stage]],FIND(".",Table3[[#This Row],[Stage]],1)-1)</f>
        <v>7</v>
      </c>
      <c r="V558" s="31" t="str">
        <f>VLOOKUP(ABS(Table3[[#This Row],[Type]]),[1]!Table9[#All],2)</f>
        <v>Carpentry</v>
      </c>
    </row>
    <row r="559" spans="1:22" x14ac:dyDescent="0.45">
      <c r="A559" s="218">
        <v>44704</v>
      </c>
      <c r="B559" t="s">
        <v>629</v>
      </c>
      <c r="C559" s="34">
        <v>25.1</v>
      </c>
      <c r="D559" s="31" t="s">
        <v>399</v>
      </c>
      <c r="E559" t="s">
        <v>69</v>
      </c>
      <c r="F559" s="28"/>
      <c r="G559" s="214">
        <v>1</v>
      </c>
      <c r="H559" s="28">
        <f>6550-3150</f>
        <v>3400</v>
      </c>
      <c r="I559" s="28"/>
      <c r="J559" s="109">
        <f>(Table3[[#This Row],[QTY]]*Table3[[#This Row],[Supplies Cost]])+Table3[[#This Row],[Tax/Fees]]</f>
        <v>3400</v>
      </c>
      <c r="K559" s="203">
        <v>9158.7000000000007</v>
      </c>
      <c r="L559" s="4" t="s">
        <v>33</v>
      </c>
      <c r="M559" s="1" t="s">
        <v>34</v>
      </c>
      <c r="N559" s="31"/>
      <c r="O559" s="25">
        <v>22051901</v>
      </c>
      <c r="P559" s="31"/>
      <c r="Q559" s="31"/>
      <c r="R559" s="31">
        <v>25.164999999999999</v>
      </c>
      <c r="S559" s="31"/>
      <c r="T559" s="31" t="s">
        <v>568</v>
      </c>
      <c r="U559" s="31" t="str">
        <f>LEFT(Table3[[#This Row],[Stage]],FIND(".",Table3[[#This Row],[Stage]],1)-1)</f>
        <v>25</v>
      </c>
      <c r="V559" s="31" t="str">
        <f>VLOOKUP(ABS(Table3[[#This Row],[Type]]),[1]!Table9[#All],2)</f>
        <v>Tiling</v>
      </c>
    </row>
    <row r="560" spans="1:22" x14ac:dyDescent="0.45">
      <c r="A560" s="218">
        <v>44704</v>
      </c>
      <c r="B560" t="s">
        <v>630</v>
      </c>
      <c r="C560" s="34">
        <v>7.38</v>
      </c>
      <c r="D560" s="27" t="s">
        <v>213</v>
      </c>
      <c r="E560" t="s">
        <v>69</v>
      </c>
      <c r="F560" s="28"/>
      <c r="G560" s="2">
        <v>1</v>
      </c>
      <c r="H560" s="28">
        <v>1657.8</v>
      </c>
      <c r="I560" s="28"/>
      <c r="J560" s="109">
        <f>(Table3[[#This Row],[QTY]]*Table3[[#This Row],[Supplies Cost]])+Table3[[#This Row],[Tax/Fees]]</f>
        <v>1657.8</v>
      </c>
      <c r="L560" s="4" t="s">
        <v>92</v>
      </c>
      <c r="M560" s="1" t="s">
        <v>34</v>
      </c>
      <c r="N560" s="31"/>
      <c r="O560" s="25">
        <v>22051901</v>
      </c>
      <c r="P560" s="31"/>
      <c r="Q560" s="31"/>
      <c r="R560" s="31"/>
      <c r="S560" s="31"/>
      <c r="T560" s="31" t="s">
        <v>160</v>
      </c>
      <c r="U560" s="31" t="str">
        <f>LEFT(Table3[[#This Row],[Stage]],FIND(".",Table3[[#This Row],[Stage]],1)-1)</f>
        <v>7</v>
      </c>
      <c r="V560" s="31" t="str">
        <f>VLOOKUP(ABS(Table3[[#This Row],[Type]]),[1]!Table9[#All],2)</f>
        <v>Carpentry</v>
      </c>
    </row>
    <row r="561" spans="1:22" x14ac:dyDescent="0.45">
      <c r="A561" s="218">
        <v>44704</v>
      </c>
      <c r="B561" t="s">
        <v>631</v>
      </c>
      <c r="C561" s="34">
        <v>7.38</v>
      </c>
      <c r="D561" s="27" t="s">
        <v>213</v>
      </c>
      <c r="E561" t="s">
        <v>69</v>
      </c>
      <c r="F561" s="28"/>
      <c r="G561" s="2">
        <v>1</v>
      </c>
      <c r="H561" s="28">
        <v>3350</v>
      </c>
      <c r="I561" s="28"/>
      <c r="J561" s="109">
        <f>(Table3[[#This Row],[QTY]]*Table3[[#This Row],[Supplies Cost]])+Table3[[#This Row],[Tax/Fees]]</f>
        <v>3350</v>
      </c>
      <c r="L561" s="4" t="s">
        <v>92</v>
      </c>
      <c r="M561" s="1" t="s">
        <v>34</v>
      </c>
      <c r="N561" s="31"/>
      <c r="O561" s="25">
        <v>22051901</v>
      </c>
      <c r="P561" s="31"/>
      <c r="Q561" s="31"/>
      <c r="R561" s="31"/>
      <c r="S561" s="31"/>
      <c r="T561" s="31" t="s">
        <v>160</v>
      </c>
      <c r="U561" s="31" t="str">
        <f>LEFT(Table3[[#This Row],[Stage]],FIND(".",Table3[[#This Row],[Stage]],1)-1)</f>
        <v>7</v>
      </c>
      <c r="V561" s="31" t="str">
        <f>VLOOKUP(ABS(Table3[[#This Row],[Type]]),[1]!Table9[#All],2)</f>
        <v>Carpentry</v>
      </c>
    </row>
    <row r="562" spans="1:22" x14ac:dyDescent="0.45">
      <c r="A562" s="218">
        <v>44705</v>
      </c>
      <c r="B562" t="s">
        <v>603</v>
      </c>
      <c r="C562" s="34">
        <v>3.8</v>
      </c>
      <c r="D562" s="27" t="s">
        <v>358</v>
      </c>
      <c r="E562" t="s">
        <v>71</v>
      </c>
      <c r="F562" s="28"/>
      <c r="G562" s="214">
        <v>1</v>
      </c>
      <c r="H562" s="28">
        <v>182.1</v>
      </c>
      <c r="I562" s="28">
        <f>$I$5*(Table3[[#This Row],[Supplies Cost]]*Table3[[#This Row],[QTY]])</f>
        <v>31.867499999999996</v>
      </c>
      <c r="J562" s="109">
        <f>(Table3[[#This Row],[QTY]]*Table3[[#This Row],[Supplies Cost]])+Table3[[#This Row],[Tax/Fees]]</f>
        <v>213.9675</v>
      </c>
      <c r="L562" s="4" t="s">
        <v>92</v>
      </c>
      <c r="M562" s="1" t="s">
        <v>47</v>
      </c>
      <c r="N562" s="31"/>
      <c r="O562" s="31" t="s">
        <v>632</v>
      </c>
      <c r="P562" s="31"/>
      <c r="Q562" s="31"/>
      <c r="R562" s="31"/>
      <c r="S562" s="31"/>
      <c r="T562" s="31" t="s">
        <v>160</v>
      </c>
      <c r="U562" s="31" t="str">
        <f>LEFT(Table3[[#This Row],[Stage]],FIND(".",Table3[[#This Row],[Stage]],1)-1)</f>
        <v>3</v>
      </c>
      <c r="V562" s="31" t="str">
        <f>VLOOKUP(ABS(Table3[[#This Row],[Type]]),[1]!Table9[#All],2)</f>
        <v>Masonary</v>
      </c>
    </row>
    <row r="563" spans="1:22" x14ac:dyDescent="0.45">
      <c r="A563" s="218">
        <v>44705</v>
      </c>
      <c r="B563" t="s">
        <v>339</v>
      </c>
      <c r="C563" s="34">
        <v>3.8</v>
      </c>
      <c r="D563" s="27" t="s">
        <v>358</v>
      </c>
      <c r="E563" t="s">
        <v>71</v>
      </c>
      <c r="F563" s="28"/>
      <c r="G563" s="214">
        <v>1</v>
      </c>
      <c r="H563" s="28">
        <v>238.5</v>
      </c>
      <c r="I563" s="28">
        <f>$I$5*(Table3[[#This Row],[Supplies Cost]]*Table3[[#This Row],[QTY]])</f>
        <v>41.737499999999997</v>
      </c>
      <c r="J563" s="109">
        <f>(Table3[[#This Row],[QTY]]*Table3[[#This Row],[Supplies Cost]])+Table3[[#This Row],[Tax/Fees]]</f>
        <v>280.23750000000001</v>
      </c>
      <c r="L563" s="4" t="s">
        <v>92</v>
      </c>
      <c r="M563" s="1" t="s">
        <v>47</v>
      </c>
      <c r="N563" s="31"/>
      <c r="O563" s="31" t="s">
        <v>632</v>
      </c>
      <c r="P563" s="31"/>
      <c r="Q563" s="31"/>
      <c r="R563" s="31"/>
      <c r="S563" s="31"/>
      <c r="T563" s="31" t="s">
        <v>160</v>
      </c>
      <c r="U563" s="31" t="str">
        <f>LEFT(Table3[[#This Row],[Stage]],FIND(".",Table3[[#This Row],[Stage]],1)-1)</f>
        <v>3</v>
      </c>
      <c r="V563" s="31" t="str">
        <f>VLOOKUP(ABS(Table3[[#This Row],[Type]]),[1]!Table9[#All],2)</f>
        <v>Masonary</v>
      </c>
    </row>
    <row r="564" spans="1:22" x14ac:dyDescent="0.45">
      <c r="A564" s="218">
        <v>44705</v>
      </c>
      <c r="B564" t="s">
        <v>617</v>
      </c>
      <c r="C564" s="34">
        <v>3.8</v>
      </c>
      <c r="D564" s="152" t="s">
        <v>358</v>
      </c>
      <c r="E564" t="s">
        <v>71</v>
      </c>
      <c r="F564" s="28"/>
      <c r="G564" s="214">
        <v>1</v>
      </c>
      <c r="H564" s="28">
        <v>10</v>
      </c>
      <c r="I564" s="28">
        <f>$I$5*(Table3[[#This Row],[Supplies Cost]]*Table3[[#This Row],[QTY]])</f>
        <v>1.75</v>
      </c>
      <c r="J564" s="109">
        <f>(Table3[[#This Row],[QTY]]*Table3[[#This Row],[Supplies Cost]])+Table3[[#This Row],[Tax/Fees]]</f>
        <v>11.75</v>
      </c>
      <c r="L564" s="4" t="s">
        <v>92</v>
      </c>
      <c r="M564" s="1" t="s">
        <v>47</v>
      </c>
      <c r="N564" s="31"/>
      <c r="O564" s="31" t="s">
        <v>632</v>
      </c>
      <c r="P564" s="31"/>
      <c r="Q564" s="31"/>
      <c r="R564" s="31"/>
      <c r="S564" s="31"/>
      <c r="T564" s="31" t="s">
        <v>160</v>
      </c>
      <c r="U564" s="31" t="str">
        <f>LEFT(Table3[[#This Row],[Stage]],FIND(".",Table3[[#This Row],[Stage]],1)-1)</f>
        <v>3</v>
      </c>
      <c r="V564" s="31" t="str">
        <f>VLOOKUP(ABS(Table3[[#This Row],[Type]]),[1]!Table9[#All],2)</f>
        <v>Masonary</v>
      </c>
    </row>
    <row r="565" spans="1:22" x14ac:dyDescent="0.45">
      <c r="A565" s="218">
        <v>44705</v>
      </c>
      <c r="B565" t="s">
        <v>633</v>
      </c>
      <c r="C565" s="34">
        <v>3.8</v>
      </c>
      <c r="D565" s="152" t="s">
        <v>358</v>
      </c>
      <c r="E565" t="s">
        <v>71</v>
      </c>
      <c r="F565" s="28"/>
      <c r="G565" s="214">
        <v>1</v>
      </c>
      <c r="H565" s="28">
        <v>15</v>
      </c>
      <c r="I565" s="28">
        <f>$I$5*(Table3[[#This Row],[Supplies Cost]]*Table3[[#This Row],[QTY]])</f>
        <v>2.625</v>
      </c>
      <c r="J565" s="109">
        <f>(Table3[[#This Row],[QTY]]*Table3[[#This Row],[Supplies Cost]])+Table3[[#This Row],[Tax/Fees]]</f>
        <v>17.625</v>
      </c>
      <c r="K565" s="203">
        <v>975.06</v>
      </c>
      <c r="L565" s="4" t="s">
        <v>33</v>
      </c>
      <c r="M565" s="1" t="s">
        <v>47</v>
      </c>
      <c r="N565" s="31"/>
      <c r="O565" s="31" t="s">
        <v>632</v>
      </c>
      <c r="P565" s="31"/>
      <c r="Q565" s="31"/>
      <c r="R565" s="31">
        <v>3.895</v>
      </c>
      <c r="S565" s="31"/>
      <c r="T565" s="31" t="s">
        <v>160</v>
      </c>
      <c r="U565" s="31" t="str">
        <f>LEFT(Table3[[#This Row],[Stage]],FIND(".",Table3[[#This Row],[Stage]],1)-1)</f>
        <v>3</v>
      </c>
      <c r="V565" s="31" t="str">
        <f>VLOOKUP(ABS(Table3[[#This Row],[Type]]),[1]!Table9[#All],2)</f>
        <v>Masonary</v>
      </c>
    </row>
    <row r="566" spans="1:22" x14ac:dyDescent="0.45">
      <c r="A566" s="218">
        <v>44705</v>
      </c>
      <c r="B566" t="s">
        <v>634</v>
      </c>
      <c r="C566" s="57">
        <v>13.41</v>
      </c>
      <c r="D566" s="31" t="s">
        <v>399</v>
      </c>
      <c r="E566" t="s">
        <v>71</v>
      </c>
      <c r="F566" s="28"/>
      <c r="G566" s="214">
        <v>1</v>
      </c>
      <c r="H566" s="28">
        <v>296.95</v>
      </c>
      <c r="I566" s="28">
        <f>$I$5*(Table3[[#This Row],[Supplies Cost]]*Table3[[#This Row],[QTY]])</f>
        <v>51.966249999999995</v>
      </c>
      <c r="J566" s="109">
        <f>(Table3[[#This Row],[QTY]]*Table3[[#This Row],[Supplies Cost]])+Table3[[#This Row],[Tax/Fees]]</f>
        <v>348.91624999999999</v>
      </c>
      <c r="L566" s="4" t="s">
        <v>92</v>
      </c>
      <c r="M566" s="1" t="s">
        <v>47</v>
      </c>
      <c r="N566" s="31"/>
      <c r="O566" s="31" t="s">
        <v>632</v>
      </c>
      <c r="P566" s="31"/>
      <c r="Q566" s="31"/>
      <c r="R566" s="31"/>
      <c r="S566" s="31"/>
      <c r="T566" s="31" t="s">
        <v>160</v>
      </c>
      <c r="U566" s="31" t="str">
        <f>LEFT(Table3[[#This Row],[Stage]],FIND(".",Table3[[#This Row],[Stage]],1)-1)</f>
        <v>13</v>
      </c>
      <c r="V566" s="31" t="str">
        <f>VLOOKUP(ABS(Table3[[#This Row],[Type]]),[1]!Table9[#All],2)</f>
        <v>Electrical</v>
      </c>
    </row>
    <row r="567" spans="1:22" x14ac:dyDescent="0.45">
      <c r="A567" s="218">
        <v>44705</v>
      </c>
      <c r="B567" t="s">
        <v>634</v>
      </c>
      <c r="C567" s="57">
        <v>13.41</v>
      </c>
      <c r="D567" s="31" t="s">
        <v>399</v>
      </c>
      <c r="E567" t="s">
        <v>71</v>
      </c>
      <c r="F567" s="28"/>
      <c r="G567" s="214">
        <v>1</v>
      </c>
      <c r="H567" s="28">
        <f>25.86+11.75+8.35+28.65+12.68</f>
        <v>87.289999999999992</v>
      </c>
      <c r="I567" s="28">
        <f>$I$5*(Table3[[#This Row],[Supplies Cost]]*Table3[[#This Row],[QTY]])</f>
        <v>15.275749999999997</v>
      </c>
      <c r="J567" s="109">
        <f>(Table3[[#This Row],[QTY]]*Table3[[#This Row],[Supplies Cost]])+Table3[[#This Row],[Tax/Fees]]</f>
        <v>102.56574999999999</v>
      </c>
      <c r="L567" s="4" t="s">
        <v>92</v>
      </c>
      <c r="M567" s="1" t="s">
        <v>47</v>
      </c>
      <c r="N567" s="31"/>
      <c r="O567" s="31" t="s">
        <v>632</v>
      </c>
      <c r="P567" s="31"/>
      <c r="Q567" s="31"/>
      <c r="R567" s="31"/>
      <c r="S567" s="31"/>
      <c r="T567" s="31" t="s">
        <v>160</v>
      </c>
      <c r="U567" s="31" t="str">
        <f>LEFT(Table3[[#This Row],[Stage]],FIND(".",Table3[[#This Row],[Stage]],1)-1)</f>
        <v>13</v>
      </c>
      <c r="V567" s="31" t="str">
        <f>VLOOKUP(ABS(Table3[[#This Row],[Type]]),[1]!Table9[#All],2)</f>
        <v>Electrical</v>
      </c>
    </row>
    <row r="568" spans="1:22" x14ac:dyDescent="0.45">
      <c r="A568" s="218">
        <v>44706</v>
      </c>
      <c r="B568" t="s">
        <v>202</v>
      </c>
      <c r="C568" s="141">
        <v>8.0399999999999991</v>
      </c>
      <c r="D568" s="190" t="s">
        <v>489</v>
      </c>
      <c r="E568" t="s">
        <v>104</v>
      </c>
      <c r="F568" s="28"/>
      <c r="G568" s="214">
        <v>1</v>
      </c>
      <c r="H568" s="28">
        <v>21.37</v>
      </c>
      <c r="I568" s="28"/>
      <c r="J568" s="109">
        <f>(Table3[[#This Row],[QTY]]*Table3[[#This Row],[Supplies Cost]])+Table3[[#This Row],[Tax/Fees]]</f>
        <v>21.37</v>
      </c>
      <c r="L568" s="4" t="s">
        <v>33</v>
      </c>
      <c r="M568" s="1" t="s">
        <v>77</v>
      </c>
      <c r="N568" s="31"/>
      <c r="O568" s="31"/>
      <c r="P568" s="31"/>
      <c r="Q568" s="31"/>
      <c r="R568" s="31">
        <v>8.0411000000000001</v>
      </c>
      <c r="S568" s="31"/>
      <c r="T568" s="31" t="s">
        <v>160</v>
      </c>
      <c r="U568" s="31" t="str">
        <f>LEFT(Table3[[#This Row],[Stage]],FIND(".",Table3[[#This Row],[Stage]],1)-1)</f>
        <v>8</v>
      </c>
      <c r="V568" s="31" t="str">
        <f>VLOOKUP(ABS(Table3[[#This Row],[Type]]),[1]!Table9[#All],2)</f>
        <v>Administrative</v>
      </c>
    </row>
    <row r="569" spans="1:22" x14ac:dyDescent="0.45">
      <c r="A569" s="218">
        <v>44706</v>
      </c>
      <c r="B569" t="s">
        <v>635</v>
      </c>
      <c r="C569" s="141">
        <v>8.0399999999999991</v>
      </c>
      <c r="D569" s="190" t="s">
        <v>489</v>
      </c>
      <c r="E569" t="s">
        <v>46</v>
      </c>
      <c r="F569" s="28"/>
      <c r="G569" s="214">
        <v>1</v>
      </c>
      <c r="H569" s="28">
        <v>80.2</v>
      </c>
      <c r="I569" s="28"/>
      <c r="J569" s="109">
        <f>(Table3[[#This Row],[QTY]]*Table3[[#This Row],[Supplies Cost]])+Table3[[#This Row],[Tax/Fees]]</f>
        <v>80.2</v>
      </c>
      <c r="L569" s="4" t="s">
        <v>33</v>
      </c>
      <c r="M569" s="1" t="s">
        <v>77</v>
      </c>
      <c r="N569" s="31"/>
      <c r="O569" s="31"/>
      <c r="P569" s="31"/>
      <c r="Q569" s="31"/>
      <c r="R569" s="31">
        <v>8.04115</v>
      </c>
      <c r="S569" s="31"/>
      <c r="T569" s="31" t="s">
        <v>160</v>
      </c>
      <c r="U569" s="31" t="str">
        <f>LEFT(Table3[[#This Row],[Stage]],FIND(".",Table3[[#This Row],[Stage]],1)-1)</f>
        <v>8</v>
      </c>
      <c r="V569" s="31" t="str">
        <f>VLOOKUP(ABS(Table3[[#This Row],[Type]]),[1]!Table9[#All],2)</f>
        <v>Administrative</v>
      </c>
    </row>
    <row r="570" spans="1:22" x14ac:dyDescent="0.45">
      <c r="A570" s="218">
        <v>44706</v>
      </c>
      <c r="B570" t="s">
        <v>636</v>
      </c>
      <c r="C570" s="220">
        <v>25.1</v>
      </c>
      <c r="D570" s="31" t="s">
        <v>399</v>
      </c>
      <c r="E570" t="s">
        <v>567</v>
      </c>
      <c r="F570" s="28"/>
      <c r="G570" s="214">
        <v>-1</v>
      </c>
      <c r="H570" s="28">
        <v>102.06</v>
      </c>
      <c r="I570" s="28">
        <f>$I$5*(Table3[[#This Row],[Supplies Cost]]*Table3[[#This Row],[QTY]])</f>
        <v>-17.860499999999998</v>
      </c>
      <c r="J570" s="109">
        <f>(Table3[[#This Row],[QTY]]*Table3[[#This Row],[Supplies Cost]])+Table3[[#This Row],[Tax/Fees]]</f>
        <v>-119.9205</v>
      </c>
      <c r="L570" s="4" t="s">
        <v>33</v>
      </c>
      <c r="M570" s="1" t="s">
        <v>47</v>
      </c>
      <c r="N570" s="31"/>
      <c r="O570" s="31"/>
      <c r="P570" s="31" t="s">
        <v>49</v>
      </c>
      <c r="Q570" s="31"/>
      <c r="R570" s="31">
        <v>25.12</v>
      </c>
      <c r="S570" s="31"/>
      <c r="T570" s="31" t="s">
        <v>568</v>
      </c>
      <c r="U570" s="31" t="str">
        <f>LEFT(Table3[[#This Row],[Stage]],FIND(".",Table3[[#This Row],[Stage]],1)-1)</f>
        <v>25</v>
      </c>
      <c r="V570" s="31" t="str">
        <f>VLOOKUP(ABS(Table3[[#This Row],[Type]]),[1]!Table9[#All],2)</f>
        <v>Tiling</v>
      </c>
    </row>
    <row r="571" spans="1:22" x14ac:dyDescent="0.45">
      <c r="A571" s="218">
        <v>44707</v>
      </c>
      <c r="B571" t="s">
        <v>637</v>
      </c>
      <c r="C571" s="34">
        <v>3.06</v>
      </c>
      <c r="D571" s="1" t="s">
        <v>374</v>
      </c>
      <c r="E571" t="s">
        <v>165</v>
      </c>
      <c r="F571" s="28"/>
      <c r="G571" s="214">
        <v>1</v>
      </c>
      <c r="H571" s="28">
        <v>12647.7</v>
      </c>
      <c r="I571" s="28"/>
      <c r="J571" s="109">
        <f>(Table3[[#This Row],[QTY]]*Table3[[#This Row],[Supplies Cost]])+Table3[[#This Row],[Tax/Fees]]</f>
        <v>12647.7</v>
      </c>
      <c r="L571" s="4" t="s">
        <v>33</v>
      </c>
      <c r="M571" s="1" t="s">
        <v>47</v>
      </c>
      <c r="N571" s="31"/>
      <c r="O571" s="31"/>
      <c r="P571" s="31"/>
      <c r="Q571" s="31"/>
      <c r="R571" s="31">
        <v>3.0609999999999999</v>
      </c>
      <c r="S571" s="31"/>
      <c r="T571" s="31" t="s">
        <v>160</v>
      </c>
      <c r="U571" s="31" t="str">
        <f>LEFT(Table3[[#This Row],[Stage]],FIND(".",Table3[[#This Row],[Stage]],1)-1)</f>
        <v>3</v>
      </c>
      <c r="V571" s="31" t="str">
        <f>VLOOKUP(ABS(Table3[[#This Row],[Type]]),[1]!Table9[#All],2)</f>
        <v>Masonary</v>
      </c>
    </row>
    <row r="572" spans="1:22" x14ac:dyDescent="0.45">
      <c r="A572" s="218">
        <v>44707</v>
      </c>
      <c r="B572" t="s">
        <v>638</v>
      </c>
      <c r="C572" s="34">
        <v>3.06</v>
      </c>
      <c r="D572" s="1" t="s">
        <v>374</v>
      </c>
      <c r="E572" t="s">
        <v>165</v>
      </c>
      <c r="F572" s="28"/>
      <c r="G572" s="214">
        <v>1</v>
      </c>
      <c r="H572" s="28">
        <v>2220</v>
      </c>
      <c r="I572" s="28"/>
      <c r="J572" s="109">
        <f>(Table3[[#This Row],[QTY]]*Table3[[#This Row],[Supplies Cost]])+Table3[[#This Row],[Tax/Fees]]</f>
        <v>2220</v>
      </c>
      <c r="L572" s="4" t="s">
        <v>33</v>
      </c>
      <c r="M572" s="1" t="s">
        <v>34</v>
      </c>
      <c r="N572" s="31"/>
      <c r="O572" s="31"/>
      <c r="P572" s="31"/>
      <c r="Q572" s="31"/>
      <c r="R572" s="31">
        <v>3.0610499999999998</v>
      </c>
      <c r="S572" s="31"/>
      <c r="T572" s="31" t="s">
        <v>160</v>
      </c>
      <c r="U572" s="31" t="str">
        <f>LEFT(Table3[[#This Row],[Stage]],FIND(".",Table3[[#This Row],[Stage]],1)-1)</f>
        <v>3</v>
      </c>
      <c r="V572" s="31" t="str">
        <f>VLOOKUP(ABS(Table3[[#This Row],[Type]]),[1]!Table9[#All],2)</f>
        <v>Masonary</v>
      </c>
    </row>
    <row r="573" spans="1:22" x14ac:dyDescent="0.45">
      <c r="A573" s="218">
        <v>44708</v>
      </c>
      <c r="B573" t="s">
        <v>639</v>
      </c>
      <c r="C573" s="34">
        <v>9.1</v>
      </c>
      <c r="D573" s="1" t="s">
        <v>45</v>
      </c>
      <c r="E573" t="s">
        <v>640</v>
      </c>
      <c r="F573" s="28"/>
      <c r="G573" s="214">
        <v>1</v>
      </c>
      <c r="H573" s="28">
        <v>68.709999999999994</v>
      </c>
      <c r="I573" s="28"/>
      <c r="J573" s="109">
        <f>(Table3[[#This Row],[QTY]]*Table3[[#This Row],[Supplies Cost]])+Table3[[#This Row],[Tax/Fees]]</f>
        <v>68.709999999999994</v>
      </c>
      <c r="L573" s="4" t="s">
        <v>33</v>
      </c>
      <c r="M573" s="1" t="s">
        <v>47</v>
      </c>
      <c r="N573" s="31"/>
      <c r="O573" s="31"/>
      <c r="P573" s="31"/>
      <c r="Q573" s="31"/>
      <c r="R573" s="31">
        <v>9.11</v>
      </c>
      <c r="S573" s="31"/>
      <c r="T573" s="31" t="s">
        <v>433</v>
      </c>
      <c r="U573" s="31" t="str">
        <f>LEFT(Table3[[#This Row],[Stage]],FIND(".",Table3[[#This Row],[Stage]],1)-1)</f>
        <v>9</v>
      </c>
      <c r="V573" s="31">
        <f>VLOOKUP(ABS(Table3[[#This Row],[Type]]),[1]!Table9[#All],2)</f>
        <v>0</v>
      </c>
    </row>
    <row r="574" spans="1:22" x14ac:dyDescent="0.45">
      <c r="A574" s="218">
        <v>44708</v>
      </c>
      <c r="B574" t="s">
        <v>641</v>
      </c>
      <c r="C574" s="34">
        <v>3.06</v>
      </c>
      <c r="D574" s="1" t="s">
        <v>374</v>
      </c>
      <c r="E574" t="s">
        <v>137</v>
      </c>
      <c r="F574" s="28"/>
      <c r="G574" s="214">
        <v>1</v>
      </c>
      <c r="H574" s="28">
        <v>822.5</v>
      </c>
      <c r="I574" s="28"/>
      <c r="J574" s="109">
        <f>(Table3[[#This Row],[QTY]]*Table3[[#This Row],[Supplies Cost]])+Table3[[#This Row],[Tax/Fees]]</f>
        <v>822.5</v>
      </c>
      <c r="L574" s="4" t="s">
        <v>33</v>
      </c>
      <c r="M574" s="1" t="s">
        <v>47</v>
      </c>
      <c r="N574" s="31"/>
      <c r="O574" s="31"/>
      <c r="P574" s="31"/>
      <c r="Q574" s="31"/>
      <c r="R574" s="31">
        <v>3.0609999999999999</v>
      </c>
      <c r="S574" s="31"/>
      <c r="T574" s="31" t="s">
        <v>160</v>
      </c>
      <c r="U574" s="31" t="str">
        <f>LEFT(Table3[[#This Row],[Stage]],FIND(".",Table3[[#This Row],[Stage]],1)-1)</f>
        <v>3</v>
      </c>
      <c r="V574" s="31" t="str">
        <f>VLOOKUP(ABS(Table3[[#This Row],[Type]]),[1]!Table9[#All],2)</f>
        <v>Masonary</v>
      </c>
    </row>
    <row r="575" spans="1:22" x14ac:dyDescent="0.45">
      <c r="A575" s="218">
        <v>44708</v>
      </c>
      <c r="B575" t="s">
        <v>642</v>
      </c>
      <c r="C575" s="34">
        <v>3.06</v>
      </c>
      <c r="D575" s="1" t="s">
        <v>374</v>
      </c>
      <c r="E575" t="s">
        <v>116</v>
      </c>
      <c r="F575" s="28"/>
      <c r="G575" s="214">
        <v>1</v>
      </c>
      <c r="H575" s="28">
        <v>373.65</v>
      </c>
      <c r="I575" s="28"/>
      <c r="J575" s="109">
        <f>(Table3[[#This Row],[QTY]]*Table3[[#This Row],[Supplies Cost]])+Table3[[#This Row],[Tax/Fees]]</f>
        <v>373.65</v>
      </c>
      <c r="L575" s="4" t="s">
        <v>33</v>
      </c>
      <c r="M575" s="1" t="s">
        <v>47</v>
      </c>
      <c r="N575" s="31"/>
      <c r="O575" s="31"/>
      <c r="P575" s="31"/>
      <c r="Q575" s="31"/>
      <c r="R575" s="31">
        <v>3.0615000000000001</v>
      </c>
      <c r="S575" s="31"/>
      <c r="T575" s="31" t="s">
        <v>160</v>
      </c>
      <c r="U575" s="31" t="str">
        <f>LEFT(Table3[[#This Row],[Stage]],FIND(".",Table3[[#This Row],[Stage]],1)-1)</f>
        <v>3</v>
      </c>
      <c r="V575" s="31" t="str">
        <f>VLOOKUP(ABS(Table3[[#This Row],[Type]]),[1]!Table9[#All],2)</f>
        <v>Masonary</v>
      </c>
    </row>
    <row r="576" spans="1:22" x14ac:dyDescent="0.45">
      <c r="A576" s="218">
        <v>44708</v>
      </c>
      <c r="B576" t="s">
        <v>643</v>
      </c>
      <c r="C576">
        <v>26.2</v>
      </c>
      <c r="D576" s="152" t="s">
        <v>358</v>
      </c>
      <c r="E576" t="s">
        <v>71</v>
      </c>
      <c r="F576" s="28"/>
      <c r="G576" s="214">
        <v>1</v>
      </c>
      <c r="H576" s="28">
        <v>1027.81</v>
      </c>
      <c r="I576" s="28"/>
      <c r="J576" s="109">
        <f>(Table3[[#This Row],[QTY]]*Table3[[#This Row],[Supplies Cost]])+Table3[[#This Row],[Tax/Fees]]</f>
        <v>1027.81</v>
      </c>
      <c r="L576" s="4" t="s">
        <v>33</v>
      </c>
      <c r="M576" s="1" t="s">
        <v>47</v>
      </c>
      <c r="N576" s="31"/>
      <c r="O576" s="31"/>
      <c r="P576" s="31"/>
      <c r="Q576" s="31"/>
      <c r="R576" s="31">
        <v>26.22</v>
      </c>
      <c r="S576" s="31"/>
      <c r="T576" s="31" t="s">
        <v>433</v>
      </c>
      <c r="U576" s="31" t="str">
        <f>LEFT(Table3[[#This Row],[Stage]],FIND(".",Table3[[#This Row],[Stage]],1)-1)</f>
        <v>26</v>
      </c>
      <c r="V576" s="31" t="str">
        <f>VLOOKUP(ABS(Table3[[#This Row],[Type]]),[1]!Table9[#All],2)</f>
        <v>Painting</v>
      </c>
    </row>
    <row r="577" spans="1:22" x14ac:dyDescent="0.45">
      <c r="A577" s="218">
        <v>44713</v>
      </c>
      <c r="B577" t="s">
        <v>644</v>
      </c>
      <c r="C577" s="220">
        <v>3.06</v>
      </c>
      <c r="D577" s="1" t="s">
        <v>374</v>
      </c>
      <c r="E577" t="s">
        <v>165</v>
      </c>
      <c r="F577" s="28"/>
      <c r="G577" s="214">
        <v>1</v>
      </c>
      <c r="H577" s="28">
        <v>748.48</v>
      </c>
      <c r="I577" s="28"/>
      <c r="J577" s="109">
        <f>(Table3[[#This Row],[QTY]]*Table3[[#This Row],[Supplies Cost]])+Table3[[#This Row],[Tax/Fees]]</f>
        <v>748.48</v>
      </c>
      <c r="L577" s="4" t="s">
        <v>33</v>
      </c>
      <c r="M577" s="1" t="s">
        <v>47</v>
      </c>
      <c r="N577" s="31"/>
      <c r="O577" s="31"/>
      <c r="P577" s="31"/>
      <c r="Q577" s="31"/>
      <c r="R577" s="31">
        <v>3.0609999999999999</v>
      </c>
      <c r="S577" s="31"/>
      <c r="T577" s="31" t="s">
        <v>160</v>
      </c>
      <c r="U577" s="31" t="str">
        <f>LEFT(Table3[[#This Row],[Stage]],FIND(".",Table3[[#This Row],[Stage]],1)-1)</f>
        <v>3</v>
      </c>
      <c r="V577" s="31" t="str">
        <f>VLOOKUP(ABS(Table3[[#This Row],[Type]]),[1]!Table9[#All],2)</f>
        <v>Masonary</v>
      </c>
    </row>
    <row r="578" spans="1:22" x14ac:dyDescent="0.45">
      <c r="A578" s="218">
        <v>44714</v>
      </c>
      <c r="B578" t="s">
        <v>577</v>
      </c>
      <c r="C578" s="40">
        <v>3.06</v>
      </c>
      <c r="D578" s="40" t="s">
        <v>374</v>
      </c>
      <c r="E578" t="s">
        <v>219</v>
      </c>
      <c r="F578" s="28"/>
      <c r="G578" s="214">
        <v>1</v>
      </c>
      <c r="H578" s="28">
        <v>54.85</v>
      </c>
      <c r="I578" s="28">
        <f>$I$5*(Table3[[#This Row],[Supplies Cost]]*Table3[[#This Row],[QTY]])</f>
        <v>9.598749999999999</v>
      </c>
      <c r="J578" s="109">
        <f>(Table3[[#This Row],[QTY]]*Table3[[#This Row],[Supplies Cost]])+Table3[[#This Row],[Tax/Fees]]</f>
        <v>64.448750000000004</v>
      </c>
      <c r="L578" s="4" t="s">
        <v>33</v>
      </c>
      <c r="M578" s="1" t="s">
        <v>47</v>
      </c>
      <c r="N578" s="31"/>
      <c r="O578" s="31"/>
      <c r="P578" s="31"/>
      <c r="Q578" s="31"/>
      <c r="R578" s="31">
        <v>3.0674999999999999</v>
      </c>
      <c r="S578" s="31"/>
      <c r="T578" s="31" t="s">
        <v>160</v>
      </c>
      <c r="U578" s="31" t="str">
        <f>LEFT(Table3[[#This Row],[Stage]],FIND(".",Table3[[#This Row],[Stage]],1)-1)</f>
        <v>3</v>
      </c>
      <c r="V578" s="31" t="str">
        <f>VLOOKUP(ABS(Table3[[#This Row],[Type]]),[1]!Table9[#All],2)</f>
        <v>Masonary</v>
      </c>
    </row>
    <row r="579" spans="1:22" x14ac:dyDescent="0.45">
      <c r="A579" s="218">
        <v>44714</v>
      </c>
      <c r="B579" t="s">
        <v>372</v>
      </c>
      <c r="C579" s="57">
        <v>7.9</v>
      </c>
      <c r="D579" s="1" t="s">
        <v>399</v>
      </c>
      <c r="E579" t="s">
        <v>116</v>
      </c>
      <c r="F579" s="28"/>
      <c r="G579" s="214">
        <v>1</v>
      </c>
      <c r="H579" s="28">
        <v>351.32</v>
      </c>
      <c r="I579" s="28"/>
      <c r="J579" s="109">
        <f>(Table3[[#This Row],[QTY]]*Table3[[#This Row],[Supplies Cost]])+Table3[[#This Row],[Tax/Fees]]</f>
        <v>351.32</v>
      </c>
      <c r="L579" s="4" t="s">
        <v>33</v>
      </c>
      <c r="M579" s="1" t="s">
        <v>77</v>
      </c>
      <c r="N579" s="31"/>
      <c r="O579" s="31"/>
      <c r="P579" s="31"/>
      <c r="Q579" s="31"/>
      <c r="R579" s="31">
        <v>7.94</v>
      </c>
      <c r="S579" s="31"/>
      <c r="T579" s="31" t="s">
        <v>160</v>
      </c>
      <c r="U579" s="31" t="str">
        <f>LEFT(Table3[[#This Row],[Stage]],FIND(".",Table3[[#This Row],[Stage]],1)-1)</f>
        <v>7</v>
      </c>
      <c r="V579" s="31" t="str">
        <f>VLOOKUP(ABS(Table3[[#This Row],[Type]]),[1]!Table9[#All],2)</f>
        <v>Carpentry</v>
      </c>
    </row>
    <row r="580" spans="1:22" ht="30.75" x14ac:dyDescent="0.45">
      <c r="A580" s="218">
        <v>44714</v>
      </c>
      <c r="B580" t="s">
        <v>645</v>
      </c>
      <c r="C580" s="34">
        <v>3.8</v>
      </c>
      <c r="D580" s="1" t="s">
        <v>399</v>
      </c>
      <c r="E580" t="s">
        <v>470</v>
      </c>
      <c r="F580" s="28"/>
      <c r="G580" s="214">
        <v>1</v>
      </c>
      <c r="H580" s="28">
        <v>2550</v>
      </c>
      <c r="I580" s="28"/>
      <c r="J580" s="109">
        <f>(Table3[[#This Row],[QTY]]*Table3[[#This Row],[Supplies Cost]])+Table3[[#This Row],[Tax/Fees]]</f>
        <v>2550</v>
      </c>
      <c r="L580" s="4" t="s">
        <v>33</v>
      </c>
      <c r="M580" s="1" t="s">
        <v>34</v>
      </c>
      <c r="N580" s="31"/>
      <c r="O580" s="31"/>
      <c r="P580" s="31"/>
      <c r="Q580" s="31"/>
      <c r="R580" s="31">
        <v>3.85</v>
      </c>
      <c r="S580" s="31"/>
      <c r="T580" s="40" t="s">
        <v>646</v>
      </c>
      <c r="U580" s="31" t="str">
        <f>LEFT(Table3[[#This Row],[Stage]],FIND(".",Table3[[#This Row],[Stage]],1)-1)</f>
        <v>3</v>
      </c>
      <c r="V580" s="31" t="str">
        <f>VLOOKUP(ABS(Table3[[#This Row],[Type]]),[1]!Table9[#All],2)</f>
        <v>Masonary</v>
      </c>
    </row>
    <row r="581" spans="1:22" x14ac:dyDescent="0.45">
      <c r="A581" s="218">
        <v>44714</v>
      </c>
      <c r="B581" t="s">
        <v>121</v>
      </c>
      <c r="C581" s="34">
        <v>1.1100000000000001</v>
      </c>
      <c r="D581" s="27" t="s">
        <v>122</v>
      </c>
      <c r="E581" t="s">
        <v>448</v>
      </c>
      <c r="F581" s="28"/>
      <c r="G581" s="2">
        <v>1</v>
      </c>
      <c r="H581" s="28">
        <v>51000</v>
      </c>
      <c r="I581" s="28">
        <v>-159.37</v>
      </c>
      <c r="J581" s="109">
        <f>(Table3[[#This Row],[QTY]]*Table3[[#This Row],[Supplies Cost]])+Table3[[#This Row],[Tax/Fees]]</f>
        <v>50840.63</v>
      </c>
      <c r="L581" s="4" t="s">
        <v>33</v>
      </c>
      <c r="M581" s="1" t="s">
        <v>124</v>
      </c>
      <c r="N581" s="31"/>
      <c r="O581" s="31"/>
      <c r="P581" s="31"/>
      <c r="Q581" s="31"/>
      <c r="R581" s="31">
        <v>7.94</v>
      </c>
      <c r="S581" s="31"/>
      <c r="T581" s="31" t="s">
        <v>60</v>
      </c>
      <c r="U581" s="31" t="str">
        <f>LEFT(Table3[[#This Row],[Stage]],FIND(".",Table3[[#This Row],[Stage]],1)-1)</f>
        <v>1</v>
      </c>
      <c r="V581" s="31" t="str">
        <f>VLOOKUP(ABS(Table3[[#This Row],[Type]]),[1]!Table9[#All],2)</f>
        <v>Transfers</v>
      </c>
    </row>
    <row r="582" spans="1:22" x14ac:dyDescent="0.45">
      <c r="A582" s="218">
        <v>44715</v>
      </c>
      <c r="B582" t="s">
        <v>579</v>
      </c>
      <c r="C582" s="34">
        <v>8.0399999999999991</v>
      </c>
      <c r="D582" s="27" t="s">
        <v>45</v>
      </c>
      <c r="E582" t="s">
        <v>127</v>
      </c>
      <c r="F582" s="28"/>
      <c r="G582" s="214">
        <v>1</v>
      </c>
      <c r="H582" s="28">
        <v>897.7</v>
      </c>
      <c r="I582" s="28"/>
      <c r="J582" s="109">
        <f>(Table3[[#This Row],[QTY]]*Table3[[#This Row],[Supplies Cost]])+Table3[[#This Row],[Tax/Fees]]</f>
        <v>897.7</v>
      </c>
      <c r="L582" s="4" t="s">
        <v>33</v>
      </c>
      <c r="M582" s="1" t="s">
        <v>77</v>
      </c>
      <c r="N582" s="31"/>
      <c r="O582" s="31"/>
      <c r="P582" s="31"/>
      <c r="Q582" s="31"/>
      <c r="R582" s="31">
        <v>8.0455000000000005</v>
      </c>
      <c r="S582" s="31"/>
      <c r="T582" s="31" t="s">
        <v>160</v>
      </c>
      <c r="U582" s="31" t="str">
        <f>LEFT(Table3[[#This Row],[Stage]],FIND(".",Table3[[#This Row],[Stage]],1)-1)</f>
        <v>8</v>
      </c>
      <c r="V582" s="31" t="str">
        <f>VLOOKUP(ABS(Table3[[#This Row],[Type]]),[1]!Table9[#All],2)</f>
        <v>Administrative</v>
      </c>
    </row>
    <row r="583" spans="1:22" x14ac:dyDescent="0.45">
      <c r="A583" s="218">
        <v>44716</v>
      </c>
      <c r="B583" t="s">
        <v>577</v>
      </c>
      <c r="C583" s="1">
        <v>3.06</v>
      </c>
      <c r="D583" s="1" t="s">
        <v>374</v>
      </c>
      <c r="E583" t="s">
        <v>71</v>
      </c>
      <c r="F583" s="28"/>
      <c r="G583" s="214">
        <v>1</v>
      </c>
      <c r="H583" s="28">
        <v>277.49249999999995</v>
      </c>
      <c r="I583" s="28"/>
      <c r="J583" s="109">
        <f>(Table3[[#This Row],[QTY]]*Table3[[#This Row],[Supplies Cost]])+Table3[[#This Row],[Tax/Fees]]</f>
        <v>277.49249999999995</v>
      </c>
      <c r="K583" s="203">
        <v>805.89</v>
      </c>
      <c r="L583" s="4" t="s">
        <v>33</v>
      </c>
      <c r="M583" s="1" t="s">
        <v>47</v>
      </c>
      <c r="N583" s="31"/>
      <c r="O583" s="31" t="s">
        <v>647</v>
      </c>
      <c r="P583" s="31"/>
      <c r="Q583" s="31"/>
      <c r="R583" s="31">
        <v>3.0665</v>
      </c>
      <c r="S583" s="31"/>
      <c r="T583" s="31" t="s">
        <v>160</v>
      </c>
      <c r="U583" s="31" t="str">
        <f>LEFT(Table3[[#This Row],[Stage]],FIND(".",Table3[[#This Row],[Stage]],1)-1)</f>
        <v>3</v>
      </c>
      <c r="V583" s="31" t="str">
        <f>VLOOKUP(ABS(Table3[[#This Row],[Type]]),[1]!Table9[#All],2)</f>
        <v>Masonary</v>
      </c>
    </row>
    <row r="584" spans="1:22" x14ac:dyDescent="0.45">
      <c r="A584" s="218">
        <v>44716</v>
      </c>
      <c r="B584" t="s">
        <v>648</v>
      </c>
      <c r="C584" s="31">
        <v>3.06</v>
      </c>
      <c r="D584" s="31" t="s">
        <v>374</v>
      </c>
      <c r="E584" t="s">
        <v>71</v>
      </c>
      <c r="F584" s="28"/>
      <c r="G584" s="214">
        <v>1</v>
      </c>
      <c r="H584" s="28">
        <v>17.43</v>
      </c>
      <c r="I584" s="28">
        <f>$I$5*(Table3[[#This Row],[Supplies Cost]]*Table3[[#This Row],[QTY]])</f>
        <v>3.0502499999999997</v>
      </c>
      <c r="J584" s="109">
        <f>(Table3[[#This Row],[QTY]]*Table3[[#This Row],[Supplies Cost]])+Table3[[#This Row],[Tax/Fees]]</f>
        <v>20.480249999999998</v>
      </c>
      <c r="L584" s="4" t="s">
        <v>33</v>
      </c>
      <c r="M584" s="1" t="s">
        <v>47</v>
      </c>
      <c r="N584" s="31"/>
      <c r="O584" s="31"/>
      <c r="P584" s="31"/>
      <c r="Q584" s="31"/>
      <c r="R584" s="31">
        <v>3.0680000000000001</v>
      </c>
      <c r="S584" s="31"/>
      <c r="T584" s="31" t="s">
        <v>160</v>
      </c>
      <c r="U584" s="31" t="str">
        <f>LEFT(Table3[[#This Row],[Stage]],FIND(".",Table3[[#This Row],[Stage]],1)-1)</f>
        <v>3</v>
      </c>
      <c r="V584" s="31" t="str">
        <f>VLOOKUP(ABS(Table3[[#This Row],[Type]]),[1]!Table9[#All],2)</f>
        <v>Masonary</v>
      </c>
    </row>
    <row r="585" spans="1:22" x14ac:dyDescent="0.45">
      <c r="A585" s="218">
        <v>44716</v>
      </c>
      <c r="B585" t="s">
        <v>232</v>
      </c>
      <c r="C585" s="1">
        <v>3.06</v>
      </c>
      <c r="D585" s="1" t="s">
        <v>374</v>
      </c>
      <c r="E585" t="s">
        <v>67</v>
      </c>
      <c r="F585" s="28"/>
      <c r="G585" s="214">
        <v>1</v>
      </c>
      <c r="H585" s="28">
        <v>6200</v>
      </c>
      <c r="I585" s="28"/>
      <c r="J585" s="109">
        <f>(Table3[[#This Row],[QTY]]*Table3[[#This Row],[Supplies Cost]])+Table3[[#This Row],[Tax/Fees]]</f>
        <v>6200</v>
      </c>
      <c r="L585" s="4" t="s">
        <v>33</v>
      </c>
      <c r="M585" s="1" t="s">
        <v>34</v>
      </c>
      <c r="N585" s="31"/>
      <c r="O585" s="31"/>
      <c r="P585" s="31"/>
      <c r="Q585" s="31"/>
      <c r="R585" s="31">
        <v>3.0609999999999999</v>
      </c>
      <c r="S585" s="31"/>
      <c r="T585" s="82" t="s">
        <v>235</v>
      </c>
      <c r="U585" s="31" t="str">
        <f>LEFT(Table3[[#This Row],[Stage]],FIND(".",Table3[[#This Row],[Stage]],1)-1)</f>
        <v>3</v>
      </c>
      <c r="V585" s="31" t="str">
        <f>VLOOKUP(ABS(Table3[[#This Row],[Type]]),[1]!Table9[#All],2)</f>
        <v>Masonary</v>
      </c>
    </row>
    <row r="586" spans="1:22" ht="30.75" x14ac:dyDescent="0.45">
      <c r="A586" s="218">
        <v>44716</v>
      </c>
      <c r="B586" t="s">
        <v>232</v>
      </c>
      <c r="C586" s="1">
        <v>3.06</v>
      </c>
      <c r="D586" s="1" t="s">
        <v>374</v>
      </c>
      <c r="E586" t="s">
        <v>67</v>
      </c>
      <c r="F586" s="28"/>
      <c r="G586" s="214">
        <v>1</v>
      </c>
      <c r="H586" s="28">
        <v>3800</v>
      </c>
      <c r="I586" s="28"/>
      <c r="J586" s="109">
        <f>(Table3[[#This Row],[QTY]]*Table3[[#This Row],[Supplies Cost]])+Table3[[#This Row],[Tax/Fees]]</f>
        <v>3800</v>
      </c>
      <c r="L586" s="4" t="s">
        <v>33</v>
      </c>
      <c r="M586" s="1" t="s">
        <v>34</v>
      </c>
      <c r="N586" s="31"/>
      <c r="O586" s="31"/>
      <c r="P586" s="31"/>
      <c r="Q586" s="31"/>
      <c r="R586" s="31">
        <v>3.0615000000000001</v>
      </c>
      <c r="S586" s="31"/>
      <c r="T586" s="31" t="s">
        <v>649</v>
      </c>
      <c r="U586" s="31" t="str">
        <f>LEFT(Table3[[#This Row],[Stage]],FIND(".",Table3[[#This Row],[Stage]],1)-1)</f>
        <v>3</v>
      </c>
      <c r="V586" s="31" t="str">
        <f>VLOOKUP(ABS(Table3[[#This Row],[Type]]),[1]!Table9[#All],2)</f>
        <v>Masonary</v>
      </c>
    </row>
    <row r="587" spans="1:22" x14ac:dyDescent="0.45">
      <c r="A587" s="218">
        <v>44716</v>
      </c>
      <c r="B587" t="s">
        <v>570</v>
      </c>
      <c r="C587" s="220">
        <v>25.1</v>
      </c>
      <c r="D587" s="1" t="s">
        <v>399</v>
      </c>
      <c r="E587" t="s">
        <v>71</v>
      </c>
      <c r="F587" s="28"/>
      <c r="G587" s="214">
        <v>15</v>
      </c>
      <c r="H587" s="28">
        <v>29.98</v>
      </c>
      <c r="I587" s="28">
        <f>$I$5*(Table3[[#This Row],[Supplies Cost]]*Table3[[#This Row],[QTY]])</f>
        <v>78.697499999999991</v>
      </c>
      <c r="J587" s="109">
        <f>(Table3[[#This Row],[QTY]]*Table3[[#This Row],[Supplies Cost]])+Table3[[#This Row],[Tax/Fees]]</f>
        <v>528.39750000000004</v>
      </c>
      <c r="L587" s="4" t="s">
        <v>92</v>
      </c>
      <c r="M587" s="1" t="s">
        <v>47</v>
      </c>
      <c r="N587" s="31"/>
      <c r="O587" s="31" t="s">
        <v>647</v>
      </c>
      <c r="P587" s="31"/>
      <c r="Q587" s="31"/>
      <c r="R587" s="31"/>
      <c r="S587" s="31"/>
      <c r="T587" s="31" t="s">
        <v>568</v>
      </c>
      <c r="U587" s="31" t="str">
        <f>LEFT(Table3[[#This Row],[Stage]],FIND(".",Table3[[#This Row],[Stage]],1)-1)</f>
        <v>25</v>
      </c>
      <c r="V587" s="31" t="str">
        <f>VLOOKUP(ABS(Table3[[#This Row],[Type]]),[1]!Table9[#All],2)</f>
        <v>Tiling</v>
      </c>
    </row>
    <row r="588" spans="1:22" x14ac:dyDescent="0.45">
      <c r="A588" s="218">
        <v>44716</v>
      </c>
      <c r="B588" t="s">
        <v>650</v>
      </c>
      <c r="C588" s="220">
        <v>13.41</v>
      </c>
      <c r="D588" s="1" t="s">
        <v>399</v>
      </c>
      <c r="E588" t="s">
        <v>65</v>
      </c>
      <c r="F588" s="28"/>
      <c r="G588" s="214">
        <v>1</v>
      </c>
      <c r="H588" s="28">
        <v>84.93</v>
      </c>
      <c r="I588" s="28"/>
      <c r="J588" s="109">
        <f>(Table3[[#This Row],[QTY]]*Table3[[#This Row],[Supplies Cost]])+Table3[[#This Row],[Tax/Fees]]</f>
        <v>84.93</v>
      </c>
      <c r="L588" s="4" t="s">
        <v>33</v>
      </c>
      <c r="M588" s="1" t="s">
        <v>47</v>
      </c>
      <c r="N588" s="31"/>
      <c r="O588" s="31"/>
      <c r="P588" s="31"/>
      <c r="Q588" s="31"/>
      <c r="R588" s="31">
        <v>13.417</v>
      </c>
      <c r="S588" s="31"/>
      <c r="T588" s="31" t="s">
        <v>160</v>
      </c>
      <c r="U588" s="31" t="str">
        <f>LEFT(Table3[[#This Row],[Stage]],FIND(".",Table3[[#This Row],[Stage]],1)-1)</f>
        <v>13</v>
      </c>
      <c r="V588" s="31" t="str">
        <f>VLOOKUP(ABS(Table3[[#This Row],[Type]]),[1]!Table9[#All],2)</f>
        <v>Electrical</v>
      </c>
    </row>
    <row r="589" spans="1:22" x14ac:dyDescent="0.45">
      <c r="A589" s="218">
        <v>44723</v>
      </c>
      <c r="B589" t="s">
        <v>577</v>
      </c>
      <c r="C589" s="34">
        <v>3.06</v>
      </c>
      <c r="D589" s="27" t="s">
        <v>399</v>
      </c>
      <c r="E589" t="s">
        <v>71</v>
      </c>
      <c r="F589" s="28"/>
      <c r="G589" s="214">
        <v>1</v>
      </c>
      <c r="H589" s="28">
        <v>405.57</v>
      </c>
      <c r="I589" s="28"/>
      <c r="J589" s="109">
        <f>(Table3[[#This Row],[QTY]]*Table3[[#This Row],[Supplies Cost]])+Table3[[#This Row],[Tax/Fees]]</f>
        <v>405.57</v>
      </c>
      <c r="L589" s="4" t="s">
        <v>33</v>
      </c>
      <c r="M589" s="1" t="s">
        <v>47</v>
      </c>
      <c r="N589" s="31"/>
      <c r="O589" s="31"/>
      <c r="P589" s="31"/>
      <c r="Q589" s="31"/>
      <c r="R589" s="31">
        <v>3.0640000000000001</v>
      </c>
      <c r="S589" s="31"/>
      <c r="T589" s="31" t="s">
        <v>160</v>
      </c>
      <c r="U589" s="31" t="str">
        <f>LEFT(Table3[[#This Row],[Stage]],FIND(".",Table3[[#This Row],[Stage]],1)-1)</f>
        <v>3</v>
      </c>
      <c r="V589" s="31" t="str">
        <f>VLOOKUP(ABS(Table3[[#This Row],[Type]]),[1]!Table9[#All],2)</f>
        <v>Masonary</v>
      </c>
    </row>
    <row r="590" spans="1:22" x14ac:dyDescent="0.45">
      <c r="A590" s="218">
        <v>44725</v>
      </c>
      <c r="B590" t="s">
        <v>629</v>
      </c>
      <c r="C590" s="34">
        <v>25.1</v>
      </c>
      <c r="D590" s="27" t="s">
        <v>431</v>
      </c>
      <c r="E590" t="s">
        <v>69</v>
      </c>
      <c r="F590" s="28"/>
      <c r="G590" s="214">
        <v>1</v>
      </c>
      <c r="H590" s="28">
        <f>12800-6550</f>
        <v>6250</v>
      </c>
      <c r="I590" s="28"/>
      <c r="J590" s="109">
        <f>(Table3[[#This Row],[QTY]]*Table3[[#This Row],[Supplies Cost]])+Table3[[#This Row],[Tax/Fees]]</f>
        <v>6250</v>
      </c>
      <c r="L590" s="4" t="s">
        <v>92</v>
      </c>
      <c r="M590" s="1" t="s">
        <v>34</v>
      </c>
      <c r="N590" s="31"/>
      <c r="O590" s="31">
        <v>22060901</v>
      </c>
      <c r="P590" s="31"/>
      <c r="Q590" s="31"/>
      <c r="R590" s="31"/>
      <c r="S590" s="31"/>
      <c r="T590" s="31" t="s">
        <v>568</v>
      </c>
      <c r="U590" s="31" t="str">
        <f>LEFT(Table3[[#This Row],[Stage]],FIND(".",Table3[[#This Row],[Stage]],1)-1)</f>
        <v>25</v>
      </c>
      <c r="V590" s="31" t="str">
        <f>VLOOKUP(ABS(Table3[[#This Row],[Type]]),[1]!Table9[#All],2)</f>
        <v>Tiling</v>
      </c>
    </row>
    <row r="591" spans="1:22" ht="30.75" x14ac:dyDescent="0.45">
      <c r="A591" s="218">
        <v>44725</v>
      </c>
      <c r="B591" t="s">
        <v>651</v>
      </c>
      <c r="C591" s="34">
        <v>3.06</v>
      </c>
      <c r="D591" s="27" t="s">
        <v>431</v>
      </c>
      <c r="E591" t="s">
        <v>69</v>
      </c>
      <c r="F591" s="28"/>
      <c r="G591" s="214">
        <v>1</v>
      </c>
      <c r="H591" s="28">
        <v>2500</v>
      </c>
      <c r="I591" s="28"/>
      <c r="J591" s="109">
        <f>(Table3[[#This Row],[QTY]]*Table3[[#This Row],[Supplies Cost]])+Table3[[#This Row],[Tax/Fees]]</f>
        <v>2500</v>
      </c>
      <c r="K591" s="203">
        <v>8934.2000000000007</v>
      </c>
      <c r="L591" s="4" t="s">
        <v>33</v>
      </c>
      <c r="M591" s="1" t="s">
        <v>34</v>
      </c>
      <c r="N591" s="31"/>
      <c r="O591" s="31">
        <v>22060901</v>
      </c>
      <c r="P591" s="31"/>
      <c r="Q591" s="31"/>
      <c r="R591" s="31">
        <v>3.0630000000000002</v>
      </c>
      <c r="S591" s="31"/>
      <c r="T591" s="31" t="s">
        <v>652</v>
      </c>
      <c r="U591" s="31" t="str">
        <f>LEFT(Table3[[#This Row],[Stage]],FIND(".",Table3[[#This Row],[Stage]],1)-1)</f>
        <v>3</v>
      </c>
      <c r="V591" s="31" t="str">
        <f>VLOOKUP(ABS(Table3[[#This Row],[Type]]),[1]!Table9[#All],2)</f>
        <v>Masonary</v>
      </c>
    </row>
    <row r="592" spans="1:22" ht="30.75" x14ac:dyDescent="0.45">
      <c r="A592" s="218">
        <v>44725</v>
      </c>
      <c r="B592" t="s">
        <v>653</v>
      </c>
      <c r="C592" s="34">
        <v>3.06</v>
      </c>
      <c r="D592" s="27" t="s">
        <v>431</v>
      </c>
      <c r="E592" t="s">
        <v>654</v>
      </c>
      <c r="F592" s="28"/>
      <c r="G592" s="214">
        <v>1</v>
      </c>
      <c r="H592" s="28">
        <v>738.58</v>
      </c>
      <c r="I592" s="28"/>
      <c r="J592" s="109">
        <f>(Table3[[#This Row],[QTY]]*Table3[[#This Row],[Supplies Cost]])+Table3[[#This Row],[Tax/Fees]]</f>
        <v>738.58</v>
      </c>
      <c r="L592" s="4" t="s">
        <v>33</v>
      </c>
      <c r="M592" s="1" t="s">
        <v>47</v>
      </c>
      <c r="N592" s="31"/>
      <c r="O592" s="31"/>
      <c r="P592" s="31"/>
      <c r="Q592" s="31"/>
      <c r="R592" s="31">
        <v>3.0634999999999999</v>
      </c>
      <c r="S592" s="31"/>
      <c r="T592" s="31" t="s">
        <v>652</v>
      </c>
      <c r="U592" s="31" t="str">
        <f>LEFT(Table3[[#This Row],[Stage]],FIND(".",Table3[[#This Row],[Stage]],1)-1)</f>
        <v>3</v>
      </c>
      <c r="V592" s="31" t="str">
        <f>VLOOKUP(ABS(Table3[[#This Row],[Type]]),[1]!Table9[#All],2)</f>
        <v>Masonary</v>
      </c>
    </row>
    <row r="593" spans="1:22" x14ac:dyDescent="0.45">
      <c r="A593" s="218">
        <v>44725</v>
      </c>
      <c r="B593" t="s">
        <v>655</v>
      </c>
      <c r="C593" s="34">
        <v>3.06</v>
      </c>
      <c r="D593" s="31" t="s">
        <v>399</v>
      </c>
      <c r="E593" t="s">
        <v>69</v>
      </c>
      <c r="F593" s="28"/>
      <c r="G593" s="214">
        <v>1</v>
      </c>
      <c r="H593" s="28">
        <f>1842-1657.8</f>
        <v>184.20000000000005</v>
      </c>
      <c r="I593" s="28"/>
      <c r="J593" s="109">
        <f>(Table3[[#This Row],[QTY]]*Table3[[#This Row],[Supplies Cost]])+Table3[[#This Row],[Tax/Fees]]</f>
        <v>184.20000000000005</v>
      </c>
      <c r="L593" s="4" t="s">
        <v>92</v>
      </c>
      <c r="M593" s="1" t="s">
        <v>34</v>
      </c>
      <c r="N593" s="31"/>
      <c r="O593" s="31">
        <v>22060901</v>
      </c>
      <c r="P593" s="31"/>
      <c r="Q593" s="31"/>
      <c r="R593" s="31"/>
      <c r="S593" s="31"/>
      <c r="T593" s="31" t="s">
        <v>160</v>
      </c>
      <c r="U593" s="31" t="str">
        <f>LEFT(Table3[[#This Row],[Stage]],FIND(".",Table3[[#This Row],[Stage]],1)-1)</f>
        <v>3</v>
      </c>
      <c r="V593" s="31" t="str">
        <f>VLOOKUP(ABS(Table3[[#This Row],[Type]]),[1]!Table9[#All],2)</f>
        <v>Masonary</v>
      </c>
    </row>
    <row r="594" spans="1:22" x14ac:dyDescent="0.45">
      <c r="A594" s="218">
        <v>44726</v>
      </c>
      <c r="B594" t="s">
        <v>656</v>
      </c>
      <c r="C594" s="34">
        <v>25.1</v>
      </c>
      <c r="D594" s="31" t="s">
        <v>399</v>
      </c>
      <c r="E594" t="s">
        <v>590</v>
      </c>
      <c r="F594" s="28"/>
      <c r="G594" s="214">
        <v>1</v>
      </c>
      <c r="H594" s="28">
        <v>3262.5</v>
      </c>
      <c r="I594" s="28"/>
      <c r="J594" s="109">
        <f>(Table3[[#This Row],[QTY]]*Table3[[#This Row],[Supplies Cost]])+Table3[[#This Row],[Tax/Fees]]</f>
        <v>3262.5</v>
      </c>
      <c r="L594" s="4" t="s">
        <v>33</v>
      </c>
      <c r="M594" s="1" t="s">
        <v>47</v>
      </c>
      <c r="N594" s="31"/>
      <c r="O594" s="31"/>
      <c r="P594" s="31"/>
      <c r="Q594" s="31"/>
      <c r="R594" s="31">
        <v>25.145</v>
      </c>
      <c r="S594" s="31"/>
      <c r="T594" s="31" t="s">
        <v>568</v>
      </c>
      <c r="U594" s="31" t="str">
        <f>LEFT(Table3[[#This Row],[Stage]],FIND(".",Table3[[#This Row],[Stage]],1)-1)</f>
        <v>25</v>
      </c>
      <c r="V594" s="31" t="str">
        <f>VLOOKUP(ABS(Table3[[#This Row],[Type]]),[1]!Table9[#All],2)</f>
        <v>Tiling</v>
      </c>
    </row>
    <row r="595" spans="1:22" x14ac:dyDescent="0.45">
      <c r="A595" s="218">
        <v>44726</v>
      </c>
      <c r="B595" t="s">
        <v>656</v>
      </c>
      <c r="C595" s="34">
        <v>25.1</v>
      </c>
      <c r="D595" s="31" t="s">
        <v>399</v>
      </c>
      <c r="E595" t="s">
        <v>590</v>
      </c>
      <c r="F595" s="28"/>
      <c r="G595" s="214">
        <v>1</v>
      </c>
      <c r="H595" s="28">
        <v>391.59</v>
      </c>
      <c r="I595" s="28"/>
      <c r="J595" s="109">
        <f>(Table3[[#This Row],[QTY]]*Table3[[#This Row],[Supplies Cost]])+Table3[[#This Row],[Tax/Fees]]</f>
        <v>391.59</v>
      </c>
      <c r="L595" s="4" t="s">
        <v>33</v>
      </c>
      <c r="M595" s="1" t="s">
        <v>47</v>
      </c>
      <c r="N595" s="31"/>
      <c r="O595" s="31"/>
      <c r="P595" s="31"/>
      <c r="Q595" s="31"/>
      <c r="R595" s="31">
        <v>25.15</v>
      </c>
      <c r="S595" s="31"/>
      <c r="T595" s="31" t="s">
        <v>568</v>
      </c>
      <c r="U595" s="31" t="str">
        <f>LEFT(Table3[[#This Row],[Stage]],FIND(".",Table3[[#This Row],[Stage]],1)-1)</f>
        <v>25</v>
      </c>
      <c r="V595" s="31" t="str">
        <f>VLOOKUP(ABS(Table3[[#This Row],[Type]]),[1]!Table9[#All],2)</f>
        <v>Tiling</v>
      </c>
    </row>
    <row r="596" spans="1:22" x14ac:dyDescent="0.45">
      <c r="A596" s="218">
        <v>44727</v>
      </c>
      <c r="B596" t="s">
        <v>657</v>
      </c>
      <c r="C596" s="34">
        <v>25.1</v>
      </c>
      <c r="D596" s="31" t="s">
        <v>399</v>
      </c>
      <c r="E596" t="s">
        <v>108</v>
      </c>
      <c r="F596" s="28"/>
      <c r="G596" s="214">
        <v>1</v>
      </c>
      <c r="H596" s="28">
        <v>1001.1</v>
      </c>
      <c r="I596" s="28"/>
      <c r="J596" s="109">
        <f>(Table3[[#This Row],[QTY]]*Table3[[#This Row],[Supplies Cost]])+Table3[[#This Row],[Tax/Fees]]</f>
        <v>1001.1</v>
      </c>
      <c r="L596" s="4" t="s">
        <v>33</v>
      </c>
      <c r="M596" s="1" t="s">
        <v>47</v>
      </c>
      <c r="N596" s="31"/>
      <c r="O596" s="31"/>
      <c r="P596" s="31"/>
      <c r="Q596" s="31"/>
      <c r="R596" s="31">
        <v>25.155000000000001</v>
      </c>
      <c r="S596" s="31"/>
      <c r="T596" s="31" t="s">
        <v>160</v>
      </c>
      <c r="U596" s="31" t="str">
        <f>LEFT(Table3[[#This Row],[Stage]],FIND(".",Table3[[#This Row],[Stage]],1)-1)</f>
        <v>25</v>
      </c>
      <c r="V596" s="31" t="str">
        <f>VLOOKUP(ABS(Table3[[#This Row],[Type]]),[1]!Table9[#All],2)</f>
        <v>Tiling</v>
      </c>
    </row>
    <row r="597" spans="1:22" x14ac:dyDescent="0.45">
      <c r="A597" s="218">
        <v>44729</v>
      </c>
      <c r="B597" t="s">
        <v>577</v>
      </c>
      <c r="C597" s="34">
        <v>3.06</v>
      </c>
      <c r="D597" s="27" t="s">
        <v>374</v>
      </c>
      <c r="E597" t="s">
        <v>71</v>
      </c>
      <c r="F597" s="28"/>
      <c r="G597" s="214">
        <v>1</v>
      </c>
      <c r="H597" s="28">
        <v>1778.42</v>
      </c>
      <c r="I597" s="28">
        <f>$I$5*(Table3[[#This Row],[Supplies Cost]]*Table3[[#This Row],[QTY]])</f>
        <v>311.2235</v>
      </c>
      <c r="J597" s="109">
        <f>(Table3[[#This Row],[QTY]]*Table3[[#This Row],[Supplies Cost]])+Table3[[#This Row],[Tax/Fees]]</f>
        <v>2089.6435000000001</v>
      </c>
      <c r="L597" s="4" t="s">
        <v>33</v>
      </c>
      <c r="M597" s="1" t="s">
        <v>47</v>
      </c>
      <c r="N597" s="31"/>
      <c r="O597" s="31"/>
      <c r="P597" s="31"/>
      <c r="Q597" s="31"/>
      <c r="R597" s="31">
        <v>3.0634999999999999</v>
      </c>
      <c r="S597" s="31"/>
      <c r="T597" s="31" t="s">
        <v>160</v>
      </c>
      <c r="U597" s="31" t="str">
        <f>LEFT(Table3[[#This Row],[Stage]],FIND(".",Table3[[#This Row],[Stage]],1)-1)</f>
        <v>3</v>
      </c>
      <c r="V597" s="31" t="str">
        <f>VLOOKUP(ABS(Table3[[#This Row],[Type]]),[1]!Table9[#All],2)</f>
        <v>Masonary</v>
      </c>
    </row>
    <row r="598" spans="1:22" x14ac:dyDescent="0.45">
      <c r="A598" s="218">
        <v>44732</v>
      </c>
      <c r="B598" t="s">
        <v>148</v>
      </c>
      <c r="C598" s="34">
        <v>7.71</v>
      </c>
      <c r="D598" s="27" t="s">
        <v>374</v>
      </c>
      <c r="E598" t="s">
        <v>71</v>
      </c>
      <c r="F598" s="28"/>
      <c r="G598" s="214">
        <v>1</v>
      </c>
      <c r="H598" s="28">
        <v>222.93</v>
      </c>
      <c r="I598" s="28">
        <f>$I$5*(Table3[[#This Row],[Supplies Cost]]*Table3[[#This Row],[QTY]])</f>
        <v>39.012749999999997</v>
      </c>
      <c r="J598" s="109">
        <f>(Table3[[#This Row],[QTY]]*Table3[[#This Row],[Supplies Cost]])+Table3[[#This Row],[Tax/Fees]]</f>
        <v>261.94274999999999</v>
      </c>
      <c r="L598" s="4" t="s">
        <v>33</v>
      </c>
      <c r="M598" s="1" t="s">
        <v>47</v>
      </c>
      <c r="N598" s="31"/>
      <c r="O598" s="31"/>
      <c r="P598" s="31"/>
      <c r="Q598" s="31"/>
      <c r="R598" s="31">
        <v>7.7130000000000001</v>
      </c>
      <c r="S598" s="31"/>
      <c r="T598" s="31" t="s">
        <v>658</v>
      </c>
      <c r="U598" s="31" t="str">
        <f>LEFT(Table3[[#This Row],[Stage]],FIND(".",Table3[[#This Row],[Stage]],1)-1)</f>
        <v>7</v>
      </c>
      <c r="V598" s="31" t="str">
        <f>VLOOKUP(ABS(Table3[[#This Row],[Type]]),[1]!Table9[#All],2)</f>
        <v>Carpentry</v>
      </c>
    </row>
    <row r="599" spans="1:22" x14ac:dyDescent="0.45">
      <c r="A599" s="218">
        <v>44732</v>
      </c>
      <c r="B599" t="s">
        <v>659</v>
      </c>
      <c r="C599" s="34">
        <v>25.1</v>
      </c>
      <c r="D599" s="31" t="s">
        <v>399</v>
      </c>
      <c r="E599" t="s">
        <v>567</v>
      </c>
      <c r="F599" s="28"/>
      <c r="G599" s="214">
        <v>1</v>
      </c>
      <c r="H599" s="28">
        <v>2068.8000000000002</v>
      </c>
      <c r="I599" s="28"/>
      <c r="J599" s="109">
        <f>(Table3[[#This Row],[QTY]]*Table3[[#This Row],[Supplies Cost]])+Table3[[#This Row],[Tax/Fees]]</f>
        <v>2068.8000000000002</v>
      </c>
      <c r="L599" s="4" t="s">
        <v>33</v>
      </c>
      <c r="M599" s="1" t="s">
        <v>47</v>
      </c>
      <c r="N599" s="31"/>
      <c r="O599" s="31"/>
      <c r="P599" s="31"/>
      <c r="Q599" s="31"/>
      <c r="R599" s="31">
        <v>25.14</v>
      </c>
      <c r="S599" s="31"/>
      <c r="T599" s="31" t="s">
        <v>568</v>
      </c>
      <c r="U599" s="31" t="str">
        <f>LEFT(Table3[[#This Row],[Stage]],FIND(".",Table3[[#This Row],[Stage]],1)-1)</f>
        <v>25</v>
      </c>
      <c r="V599" s="31" t="str">
        <f>VLOOKUP(ABS(Table3[[#This Row],[Type]]),[1]!Table9[#All],2)</f>
        <v>Tiling</v>
      </c>
    </row>
    <row r="600" spans="1:22" x14ac:dyDescent="0.45">
      <c r="A600" s="218">
        <v>44733</v>
      </c>
      <c r="B600" t="s">
        <v>536</v>
      </c>
      <c r="C600" s="141">
        <v>8.0399999999999991</v>
      </c>
      <c r="D600" s="142" t="s">
        <v>489</v>
      </c>
      <c r="E600" t="s">
        <v>104</v>
      </c>
      <c r="F600" s="28"/>
      <c r="G600" s="214">
        <v>1</v>
      </c>
      <c r="H600" s="28">
        <v>23.77</v>
      </c>
      <c r="I600" s="28"/>
      <c r="J600" s="109">
        <f>(Table3[[#This Row],[QTY]]*Table3[[#This Row],[Supplies Cost]])+Table3[[#This Row],[Tax/Fees]]</f>
        <v>23.77</v>
      </c>
      <c r="L600" s="4" t="s">
        <v>33</v>
      </c>
      <c r="M600" s="1" t="s">
        <v>47</v>
      </c>
      <c r="N600" s="31"/>
      <c r="O600" s="31"/>
      <c r="P600" s="31"/>
      <c r="Q600" s="31"/>
      <c r="R600" s="31">
        <v>8.0444999999999993</v>
      </c>
      <c r="S600" s="31"/>
      <c r="T600" s="31" t="s">
        <v>60</v>
      </c>
      <c r="U600" s="31" t="str">
        <f>LEFT(Table3[[#This Row],[Stage]],FIND(".",Table3[[#This Row],[Stage]],1)-1)</f>
        <v>8</v>
      </c>
      <c r="V600" s="31" t="str">
        <f>VLOOKUP(ABS(Table3[[#This Row],[Type]]),[1]!Table9[#All],2)</f>
        <v>Administrative</v>
      </c>
    </row>
    <row r="601" spans="1:22" x14ac:dyDescent="0.45">
      <c r="A601" s="218">
        <v>44733</v>
      </c>
      <c r="B601" t="s">
        <v>660</v>
      </c>
      <c r="C601" s="34">
        <v>3.1</v>
      </c>
      <c r="D601" s="27" t="s">
        <v>489</v>
      </c>
      <c r="E601" t="s">
        <v>239</v>
      </c>
      <c r="F601" s="28"/>
      <c r="G601" s="214">
        <v>1</v>
      </c>
      <c r="H601" s="28">
        <v>700</v>
      </c>
      <c r="I601" s="28"/>
      <c r="J601" s="109">
        <f>(Table3[[#This Row],[QTY]]*Table3[[#This Row],[Supplies Cost]])+Table3[[#This Row],[Tax/Fees]]</f>
        <v>700</v>
      </c>
      <c r="L601" s="4" t="s">
        <v>33</v>
      </c>
      <c r="M601" s="1" t="s">
        <v>47</v>
      </c>
      <c r="N601" s="31"/>
      <c r="O601" s="31"/>
      <c r="P601" s="31"/>
      <c r="Q601" s="31"/>
      <c r="R601" s="31">
        <v>3.15</v>
      </c>
      <c r="S601" s="31"/>
      <c r="T601" s="31" t="s">
        <v>160</v>
      </c>
      <c r="U601" s="31" t="str">
        <f>LEFT(Table3[[#This Row],[Stage]],FIND(".",Table3[[#This Row],[Stage]],1)-1)</f>
        <v>3</v>
      </c>
      <c r="V601" s="31" t="str">
        <f>VLOOKUP(ABS(Table3[[#This Row],[Type]]),[1]!Table9[#All],2)</f>
        <v>Masonary</v>
      </c>
    </row>
    <row r="602" spans="1:22" ht="30.75" x14ac:dyDescent="0.45">
      <c r="A602" s="218">
        <v>44735</v>
      </c>
      <c r="B602" t="s">
        <v>661</v>
      </c>
      <c r="C602" s="34">
        <v>3.06</v>
      </c>
      <c r="D602" s="27" t="s">
        <v>431</v>
      </c>
      <c r="E602" t="s">
        <v>69</v>
      </c>
      <c r="F602" s="28"/>
      <c r="G602" s="214">
        <v>1</v>
      </c>
      <c r="H602" s="28">
        <f>6857.5-2500</f>
        <v>4357.5</v>
      </c>
      <c r="I602" s="28"/>
      <c r="J602" s="109">
        <f>(Table3[[#This Row],[QTY]]*Table3[[#This Row],[Supplies Cost]])+Table3[[#This Row],[Tax/Fees]]</f>
        <v>4357.5</v>
      </c>
      <c r="L602" s="4" t="s">
        <v>92</v>
      </c>
      <c r="M602" s="1" t="s">
        <v>34</v>
      </c>
      <c r="N602" s="31"/>
      <c r="O602" s="25">
        <v>22062301</v>
      </c>
      <c r="P602" s="31"/>
      <c r="Q602" s="31"/>
      <c r="R602" s="31"/>
      <c r="S602" s="31"/>
      <c r="T602" s="31" t="s">
        <v>616</v>
      </c>
      <c r="U602" s="31" t="str">
        <f>LEFT(Table3[[#This Row],[Stage]],FIND(".",Table3[[#This Row],[Stage]],1)-1)</f>
        <v>3</v>
      </c>
      <c r="V602" s="31" t="str">
        <f>VLOOKUP(ABS(Table3[[#This Row],[Type]]),[1]!Table9[#All],2)</f>
        <v>Masonary</v>
      </c>
    </row>
    <row r="603" spans="1:22" x14ac:dyDescent="0.45">
      <c r="A603" s="218">
        <v>44735</v>
      </c>
      <c r="B603" t="s">
        <v>629</v>
      </c>
      <c r="C603" s="34">
        <v>25.1</v>
      </c>
      <c r="D603" s="31" t="s">
        <v>399</v>
      </c>
      <c r="E603" t="s">
        <v>69</v>
      </c>
      <c r="F603" s="28"/>
      <c r="G603" s="214">
        <v>1</v>
      </c>
      <c r="H603" s="28">
        <f>15000-12800</f>
        <v>2200</v>
      </c>
      <c r="I603" s="28"/>
      <c r="J603" s="109">
        <f>(Table3[[#This Row],[QTY]]*Table3[[#This Row],[Supplies Cost]])+Table3[[#This Row],[Tax/Fees]]</f>
        <v>2200</v>
      </c>
      <c r="L603" s="4" t="s">
        <v>92</v>
      </c>
      <c r="M603" s="1" t="s">
        <v>34</v>
      </c>
      <c r="N603" s="31"/>
      <c r="O603" s="25">
        <v>22062301</v>
      </c>
      <c r="P603" s="31"/>
      <c r="Q603" s="31"/>
      <c r="R603" s="31"/>
      <c r="S603" s="31"/>
      <c r="T603" s="31" t="s">
        <v>568</v>
      </c>
      <c r="U603" s="31" t="str">
        <f>LEFT(Table3[[#This Row],[Stage]],FIND(".",Table3[[#This Row],[Stage]],1)-1)</f>
        <v>25</v>
      </c>
      <c r="V603" s="31" t="str">
        <f>VLOOKUP(ABS(Table3[[#This Row],[Type]]),[1]!Table9[#All],2)</f>
        <v>Tiling</v>
      </c>
    </row>
    <row r="604" spans="1:22" x14ac:dyDescent="0.45">
      <c r="A604" s="218">
        <v>44735</v>
      </c>
      <c r="B604" t="s">
        <v>662</v>
      </c>
      <c r="C604" s="57">
        <v>25.1</v>
      </c>
      <c r="D604" s="31" t="s">
        <v>399</v>
      </c>
      <c r="E604" t="s">
        <v>69</v>
      </c>
      <c r="F604" s="28"/>
      <c r="G604" s="214">
        <v>1</v>
      </c>
      <c r="H604" s="28">
        <v>3198</v>
      </c>
      <c r="I604" s="28"/>
      <c r="J604" s="109">
        <f>(Table3[[#This Row],[QTY]]*Table3[[#This Row],[Supplies Cost]])+Table3[[#This Row],[Tax/Fees]]</f>
        <v>3198</v>
      </c>
      <c r="K604" s="203">
        <v>11690.5</v>
      </c>
      <c r="L604" s="4" t="s">
        <v>33</v>
      </c>
      <c r="M604" s="1" t="s">
        <v>34</v>
      </c>
      <c r="N604" s="31"/>
      <c r="O604" s="25">
        <v>22062301</v>
      </c>
      <c r="P604" s="31"/>
      <c r="Q604" s="31"/>
      <c r="R604" s="31">
        <v>25.17</v>
      </c>
      <c r="S604" s="31"/>
      <c r="T604" s="31" t="s">
        <v>568</v>
      </c>
      <c r="U604" s="31" t="str">
        <f>LEFT(Table3[[#This Row],[Stage]],FIND(".",Table3[[#This Row],[Stage]],1)-1)</f>
        <v>25</v>
      </c>
      <c r="V604" s="31" t="str">
        <f>VLOOKUP(ABS(Table3[[#This Row],[Type]]),[1]!Table9[#All],2)</f>
        <v>Tiling</v>
      </c>
    </row>
    <row r="605" spans="1:22" x14ac:dyDescent="0.45">
      <c r="A605" s="218">
        <v>44735</v>
      </c>
      <c r="B605" t="s">
        <v>663</v>
      </c>
      <c r="C605" s="180">
        <v>7.7</v>
      </c>
      <c r="D605" s="31" t="s">
        <v>607</v>
      </c>
      <c r="E605" t="s">
        <v>69</v>
      </c>
      <c r="F605" s="28"/>
      <c r="G605" s="2">
        <v>1</v>
      </c>
      <c r="H605" s="28">
        <v>1935</v>
      </c>
      <c r="I605" s="28"/>
      <c r="J605" s="109">
        <f>(Table3[[#This Row],[QTY]]*Table3[[#This Row],[Supplies Cost]])+Table3[[#This Row],[Tax/Fees]]</f>
        <v>1935</v>
      </c>
      <c r="L605" s="4" t="s">
        <v>92</v>
      </c>
      <c r="M605" s="1" t="s">
        <v>34</v>
      </c>
      <c r="N605" s="31"/>
      <c r="O605" s="25">
        <v>22062301</v>
      </c>
      <c r="P605" s="31"/>
      <c r="Q605" s="31"/>
      <c r="R605" s="31"/>
      <c r="S605" s="31"/>
      <c r="T605" s="31" t="s">
        <v>658</v>
      </c>
      <c r="U605" s="31" t="str">
        <f>LEFT(Table3[[#This Row],[Stage]],FIND(".",Table3[[#This Row],[Stage]],1)-1)</f>
        <v>7</v>
      </c>
      <c r="V605" s="31" t="str">
        <f>VLOOKUP(ABS(Table3[[#This Row],[Type]]),[1]!Table9[#All],2)</f>
        <v>Carpentry</v>
      </c>
    </row>
    <row r="606" spans="1:22" x14ac:dyDescent="0.45">
      <c r="A606" s="218">
        <v>44736</v>
      </c>
      <c r="B606" t="s">
        <v>148</v>
      </c>
      <c r="C606" s="34">
        <v>7.71</v>
      </c>
      <c r="D606" s="27" t="s">
        <v>374</v>
      </c>
      <c r="E606" t="s">
        <v>69</v>
      </c>
      <c r="F606" s="28"/>
      <c r="G606" s="214">
        <v>1</v>
      </c>
      <c r="H606" s="28">
        <v>300.93</v>
      </c>
      <c r="I606" s="28"/>
      <c r="J606" s="109">
        <f>(Table3[[#This Row],[QTY]]*Table3[[#This Row],[Supplies Cost]])+Table3[[#This Row],[Tax/Fees]]</f>
        <v>300.93</v>
      </c>
      <c r="L606" s="4" t="s">
        <v>33</v>
      </c>
      <c r="M606" s="1" t="s">
        <v>47</v>
      </c>
      <c r="N606" s="31"/>
      <c r="O606" s="1"/>
      <c r="P606" s="31"/>
      <c r="Q606" s="31"/>
      <c r="R606" s="31">
        <v>7.7119999999999997</v>
      </c>
      <c r="S606" s="31"/>
      <c r="T606" s="31" t="s">
        <v>658</v>
      </c>
      <c r="U606" s="31" t="str">
        <f>LEFT(Table3[[#This Row],[Stage]],FIND(".",Table3[[#This Row],[Stage]],1)-1)</f>
        <v>7</v>
      </c>
      <c r="V606" s="31" t="str">
        <f>VLOOKUP(ABS(Table3[[#This Row],[Type]]),[1]!Table9[#All],2)</f>
        <v>Carpentry</v>
      </c>
    </row>
    <row r="607" spans="1:22" x14ac:dyDescent="0.45">
      <c r="A607" s="218">
        <v>44736</v>
      </c>
      <c r="B607" t="s">
        <v>148</v>
      </c>
      <c r="C607" s="34">
        <v>7.71</v>
      </c>
      <c r="D607" s="27" t="s">
        <v>374</v>
      </c>
      <c r="E607" t="s">
        <v>219</v>
      </c>
      <c r="F607" s="28"/>
      <c r="G607" s="214">
        <v>1</v>
      </c>
      <c r="H607" s="28">
        <v>38.99</v>
      </c>
      <c r="I607" s="28"/>
      <c r="J607" s="109">
        <f>(Table3[[#This Row],[QTY]]*Table3[[#This Row],[Supplies Cost]])+Table3[[#This Row],[Tax/Fees]]</f>
        <v>38.99</v>
      </c>
      <c r="L607" s="4" t="s">
        <v>33</v>
      </c>
      <c r="M607" s="1" t="s">
        <v>47</v>
      </c>
      <c r="N607" s="31"/>
      <c r="O607" s="1"/>
      <c r="P607" s="31"/>
      <c r="Q607" s="31"/>
      <c r="R607" s="31">
        <v>7.7125000000000004</v>
      </c>
      <c r="S607" s="31"/>
      <c r="T607" s="31" t="s">
        <v>658</v>
      </c>
      <c r="U607" s="31" t="str">
        <f>LEFT(Table3[[#This Row],[Stage]],FIND(".",Table3[[#This Row],[Stage]],1)-1)</f>
        <v>7</v>
      </c>
      <c r="V607" s="31" t="str">
        <f>VLOOKUP(ABS(Table3[[#This Row],[Type]]),[1]!Table9[#All],2)</f>
        <v>Carpentry</v>
      </c>
    </row>
    <row r="608" spans="1:22" x14ac:dyDescent="0.45">
      <c r="A608" s="218">
        <v>44737</v>
      </c>
      <c r="B608" t="s">
        <v>556</v>
      </c>
      <c r="C608" s="34">
        <v>3.06</v>
      </c>
      <c r="D608" s="27" t="s">
        <v>374</v>
      </c>
      <c r="E608" t="s">
        <v>71</v>
      </c>
      <c r="F608" s="28"/>
      <c r="G608" s="214">
        <v>1</v>
      </c>
      <c r="H608" s="28">
        <v>105.83</v>
      </c>
      <c r="I608" s="28">
        <f>$I$5*(Table3[[#This Row],[Supplies Cost]]*Table3[[#This Row],[QTY]])</f>
        <v>18.520249999999997</v>
      </c>
      <c r="J608" s="109">
        <f>(Table3[[#This Row],[QTY]]*Table3[[#This Row],[Supplies Cost]])+Table3[[#This Row],[Tax/Fees]]</f>
        <v>124.35024999999999</v>
      </c>
      <c r="L608" s="4" t="s">
        <v>33</v>
      </c>
      <c r="M608" s="1" t="s">
        <v>47</v>
      </c>
      <c r="N608" s="31"/>
      <c r="O608" s="1"/>
      <c r="P608" s="31"/>
      <c r="Q608" s="31"/>
      <c r="R608" s="31">
        <v>3.0615000000000001</v>
      </c>
      <c r="S608" s="31"/>
      <c r="T608" s="31" t="s">
        <v>160</v>
      </c>
      <c r="U608" s="31" t="str">
        <f>LEFT(Table3[[#This Row],[Stage]],FIND(".",Table3[[#This Row],[Stage]],1)-1)</f>
        <v>3</v>
      </c>
      <c r="V608" s="31" t="str">
        <f>VLOOKUP(ABS(Table3[[#This Row],[Type]]),[1]!Table9[#All],2)</f>
        <v>Masonary</v>
      </c>
    </row>
    <row r="609" spans="1:22" x14ac:dyDescent="0.45">
      <c r="A609" s="218">
        <v>44737</v>
      </c>
      <c r="B609" t="s">
        <v>408</v>
      </c>
      <c r="C609" s="141">
        <v>8.0399999999999991</v>
      </c>
      <c r="D609" s="142" t="s">
        <v>489</v>
      </c>
      <c r="E609" t="s">
        <v>46</v>
      </c>
      <c r="F609" s="28"/>
      <c r="G609" s="214">
        <v>1</v>
      </c>
      <c r="H609" s="28">
        <v>79.569999999999993</v>
      </c>
      <c r="I609" s="28"/>
      <c r="J609" s="109">
        <f>(Table3[[#This Row],[QTY]]*Table3[[#This Row],[Supplies Cost]])+Table3[[#This Row],[Tax/Fees]]</f>
        <v>79.569999999999993</v>
      </c>
      <c r="L609" s="4" t="s">
        <v>33</v>
      </c>
      <c r="M609" s="1" t="s">
        <v>77</v>
      </c>
      <c r="N609" s="31"/>
      <c r="O609" s="1"/>
      <c r="P609" s="31"/>
      <c r="Q609" s="31"/>
      <c r="R609" s="31">
        <v>8.048</v>
      </c>
      <c r="S609" s="31"/>
      <c r="T609" s="31" t="s">
        <v>60</v>
      </c>
      <c r="U609" s="31" t="str">
        <f>LEFT(Table3[[#This Row],[Stage]],FIND(".",Table3[[#This Row],[Stage]],1)-1)</f>
        <v>8</v>
      </c>
      <c r="V609" s="31" t="str">
        <f>VLOOKUP(ABS(Table3[[#This Row],[Type]]),[1]!Table9[#All],2)</f>
        <v>Administrative</v>
      </c>
    </row>
    <row r="610" spans="1:22" x14ac:dyDescent="0.45">
      <c r="A610" s="218">
        <v>44740</v>
      </c>
      <c r="B610" t="s">
        <v>664</v>
      </c>
      <c r="C610" s="34">
        <v>7.71</v>
      </c>
      <c r="D610" s="31" t="s">
        <v>607</v>
      </c>
      <c r="E610" t="s">
        <v>71</v>
      </c>
      <c r="F610" s="28"/>
      <c r="G610" s="214">
        <v>1</v>
      </c>
      <c r="H610" s="28">
        <v>924.33</v>
      </c>
      <c r="I610" s="28">
        <f>$I$5*(Table3[[#This Row],[Supplies Cost]]*Table3[[#This Row],[QTY]])</f>
        <v>161.75774999999999</v>
      </c>
      <c r="J610" s="109">
        <f>(Table3[[#This Row],[QTY]]*Table3[[#This Row],[Supplies Cost]])+Table3[[#This Row],[Tax/Fees]]</f>
        <v>1086.0877500000001</v>
      </c>
      <c r="L610" s="4" t="s">
        <v>33</v>
      </c>
      <c r="M610" s="1" t="s">
        <v>47</v>
      </c>
      <c r="N610" s="31"/>
      <c r="O610" s="31"/>
      <c r="P610" s="31"/>
      <c r="Q610" s="31"/>
      <c r="R610" s="31">
        <v>7.7110000000000003</v>
      </c>
      <c r="S610" s="31"/>
      <c r="T610" s="31" t="s">
        <v>658</v>
      </c>
      <c r="U610" s="31" t="str">
        <f>LEFT(Table3[[#This Row],[Stage]],FIND(".",Table3[[#This Row],[Stage]],1)-1)</f>
        <v>7</v>
      </c>
      <c r="V610" s="31" t="str">
        <f>VLOOKUP(ABS(Table3[[#This Row],[Type]]),[1]!Table9[#All],2)</f>
        <v>Carpentry</v>
      </c>
    </row>
    <row r="611" spans="1:22" x14ac:dyDescent="0.45">
      <c r="A611" s="218">
        <v>44742</v>
      </c>
      <c r="B611" t="s">
        <v>665</v>
      </c>
      <c r="C611" s="57">
        <v>7.7</v>
      </c>
      <c r="D611" s="31" t="s">
        <v>399</v>
      </c>
      <c r="E611" t="s">
        <v>71</v>
      </c>
      <c r="F611" s="28"/>
      <c r="G611" s="214">
        <v>1</v>
      </c>
      <c r="H611" s="28">
        <v>105.81</v>
      </c>
      <c r="I611" s="28"/>
      <c r="J611" s="109">
        <f>(Table3[[#This Row],[QTY]]*Table3[[#This Row],[Supplies Cost]])+Table3[[#This Row],[Tax/Fees]]</f>
        <v>105.81</v>
      </c>
      <c r="L611" s="4" t="s">
        <v>33</v>
      </c>
      <c r="M611" s="1" t="s">
        <v>47</v>
      </c>
      <c r="N611" s="31"/>
      <c r="O611" s="31"/>
      <c r="P611" s="31"/>
      <c r="Q611" s="31"/>
      <c r="R611" s="31">
        <v>7.71</v>
      </c>
      <c r="S611" s="31"/>
      <c r="T611" s="31" t="s">
        <v>658</v>
      </c>
      <c r="U611" s="31" t="str">
        <f>LEFT(Table3[[#This Row],[Stage]],FIND(".",Table3[[#This Row],[Stage]],1)-1)</f>
        <v>7</v>
      </c>
      <c r="V611" s="31" t="str">
        <f>VLOOKUP(ABS(Table3[[#This Row],[Type]]),[1]!Table9[#All],2)</f>
        <v>Carpentry</v>
      </c>
    </row>
    <row r="612" spans="1:22" x14ac:dyDescent="0.45">
      <c r="A612" s="218">
        <v>44742</v>
      </c>
      <c r="B612" t="s">
        <v>666</v>
      </c>
      <c r="C612" s="57">
        <v>25.1</v>
      </c>
      <c r="D612" s="40" t="s">
        <v>399</v>
      </c>
      <c r="E612" t="s">
        <v>619</v>
      </c>
      <c r="F612" s="28"/>
      <c r="G612" s="2">
        <v>1</v>
      </c>
      <c r="H612" s="28">
        <v>870.2</v>
      </c>
      <c r="I612" s="28">
        <f>$I$5*(Table3[[#This Row],[Supplies Cost]]*Table3[[#This Row],[QTY]])</f>
        <v>152.285</v>
      </c>
      <c r="J612" s="109">
        <f>(Table3[[#This Row],[QTY]]*Table3[[#This Row],[Supplies Cost]])+Table3[[#This Row],[Tax/Fees]]</f>
        <v>1022.485</v>
      </c>
      <c r="L612" s="4" t="s">
        <v>33</v>
      </c>
      <c r="M612" s="1" t="s">
        <v>47</v>
      </c>
      <c r="N612" s="31"/>
      <c r="O612" s="31"/>
      <c r="P612" s="31"/>
      <c r="Q612" s="31"/>
      <c r="R612" s="31">
        <v>25.175000000000001</v>
      </c>
      <c r="S612" s="31"/>
      <c r="T612" s="31" t="s">
        <v>568</v>
      </c>
      <c r="U612" s="31" t="str">
        <f>LEFT(Table3[[#This Row],[Stage]],FIND(".",Table3[[#This Row],[Stage]],1)-1)</f>
        <v>25</v>
      </c>
      <c r="V612" s="31" t="str">
        <f>VLOOKUP(ABS(Table3[[#This Row],[Type]]),[1]!Table9[#All],2)</f>
        <v>Tiling</v>
      </c>
    </row>
    <row r="613" spans="1:22" x14ac:dyDescent="0.45">
      <c r="A613" s="218">
        <v>44742</v>
      </c>
      <c r="B613" t="s">
        <v>372</v>
      </c>
      <c r="C613" s="34">
        <v>7.9</v>
      </c>
      <c r="D613" s="40" t="s">
        <v>399</v>
      </c>
      <c r="E613" t="s">
        <v>116</v>
      </c>
      <c r="F613" s="28"/>
      <c r="G613" s="2">
        <v>1</v>
      </c>
      <c r="H613" s="28">
        <v>756.7</v>
      </c>
      <c r="I613" s="28"/>
      <c r="J613" s="109">
        <f>(Table3[[#This Row],[QTY]]*Table3[[#This Row],[Supplies Cost]])+Table3[[#This Row],[Tax/Fees]]</f>
        <v>756.7</v>
      </c>
      <c r="L613" s="4" t="s">
        <v>33</v>
      </c>
      <c r="M613" s="1" t="s">
        <v>47</v>
      </c>
      <c r="N613" s="31"/>
      <c r="O613" s="31"/>
      <c r="P613" s="31"/>
      <c r="Q613" s="31"/>
      <c r="R613" s="31">
        <v>7.91</v>
      </c>
      <c r="S613" s="31"/>
      <c r="T613" s="31" t="s">
        <v>160</v>
      </c>
      <c r="U613" s="31" t="str">
        <f>LEFT(Table3[[#This Row],[Stage]],FIND(".",Table3[[#This Row],[Stage]],1)-1)</f>
        <v>7</v>
      </c>
      <c r="V613" s="31" t="str">
        <f>VLOOKUP(ABS(Table3[[#This Row],[Type]]),[1]!Table9[#All],2)</f>
        <v>Carpentry</v>
      </c>
    </row>
    <row r="614" spans="1:22" x14ac:dyDescent="0.45">
      <c r="A614" s="218">
        <v>44743</v>
      </c>
      <c r="B614" t="s">
        <v>667</v>
      </c>
      <c r="C614" s="34">
        <v>13.4</v>
      </c>
      <c r="D614" s="40" t="s">
        <v>399</v>
      </c>
      <c r="E614" t="s">
        <v>667</v>
      </c>
      <c r="F614" s="28"/>
      <c r="G614" s="2">
        <v>1</v>
      </c>
      <c r="H614" s="28">
        <v>75.599999999999994</v>
      </c>
      <c r="I614" s="28"/>
      <c r="J614" s="109">
        <f>(Table3[[#This Row],[QTY]]*Table3[[#This Row],[Supplies Cost]])+Table3[[#This Row],[Tax/Fees]]</f>
        <v>75.599999999999994</v>
      </c>
      <c r="K614" s="203"/>
      <c r="L614" s="4" t="s">
        <v>33</v>
      </c>
      <c r="M614" s="1" t="s">
        <v>47</v>
      </c>
      <c r="N614" s="31"/>
      <c r="O614" s="31"/>
      <c r="P614" s="31"/>
      <c r="Q614" s="31"/>
      <c r="R614" s="31">
        <v>13.414999999999999</v>
      </c>
      <c r="S614" s="31"/>
      <c r="T614" s="31" t="s">
        <v>526</v>
      </c>
      <c r="U614" s="31" t="str">
        <f>LEFT(Table3[[#This Row],[Stage]],FIND(".",Table3[[#This Row],[Stage]],1)-1)</f>
        <v>13</v>
      </c>
      <c r="V614" s="31" t="str">
        <f>VLOOKUP(ABS(Table3[[#This Row],[Type]]),[1]!Table9[#All],2)</f>
        <v>Electrical</v>
      </c>
    </row>
    <row r="615" spans="1:22" x14ac:dyDescent="0.45">
      <c r="A615" s="218">
        <v>44743</v>
      </c>
      <c r="B615" t="s">
        <v>668</v>
      </c>
      <c r="C615" s="34">
        <v>13.4</v>
      </c>
      <c r="D615" s="40" t="s">
        <v>399</v>
      </c>
      <c r="E615" t="s">
        <v>669</v>
      </c>
      <c r="F615" s="28"/>
      <c r="G615" s="2">
        <v>1</v>
      </c>
      <c r="H615" s="28">
        <v>25.25</v>
      </c>
      <c r="I615" s="28"/>
      <c r="J615" s="109">
        <f>(Table3[[#This Row],[QTY]]*Table3[[#This Row],[Supplies Cost]])+Table3[[#This Row],[Tax/Fees]]</f>
        <v>25.25</v>
      </c>
      <c r="L615" s="4" t="s">
        <v>33</v>
      </c>
      <c r="M615" s="1" t="s">
        <v>47</v>
      </c>
      <c r="N615" s="31"/>
      <c r="O615" s="31"/>
      <c r="P615" s="31"/>
      <c r="Q615" s="31"/>
      <c r="R615" s="31">
        <v>13.42</v>
      </c>
      <c r="S615" s="31"/>
      <c r="T615" s="31" t="s">
        <v>526</v>
      </c>
      <c r="U615" s="31" t="str">
        <f>LEFT(Table3[[#This Row],[Stage]],FIND(".",Table3[[#This Row],[Stage]],1)-1)</f>
        <v>13</v>
      </c>
      <c r="V615" s="31" t="str">
        <f>VLOOKUP(ABS(Table3[[#This Row],[Type]]),[1]!Table9[#All],2)</f>
        <v>Electrical</v>
      </c>
    </row>
    <row r="616" spans="1:22" x14ac:dyDescent="0.45">
      <c r="A616" s="218">
        <v>44743</v>
      </c>
      <c r="B616" t="s">
        <v>440</v>
      </c>
      <c r="C616" s="34">
        <v>26.52</v>
      </c>
      <c r="D616" s="27" t="s">
        <v>670</v>
      </c>
      <c r="E616" t="s">
        <v>440</v>
      </c>
      <c r="F616" s="28"/>
      <c r="G616" s="214">
        <v>1</v>
      </c>
      <c r="H616" s="28">
        <v>2498.12</v>
      </c>
      <c r="I616" s="28"/>
      <c r="J616" s="109">
        <f>(Table3[[#This Row],[QTY]]*Table3[[#This Row],[Supplies Cost]])+Table3[[#This Row],[Tax/Fees]]</f>
        <v>2498.12</v>
      </c>
      <c r="L616" s="4" t="s">
        <v>33</v>
      </c>
      <c r="M616" s="1" t="s">
        <v>47</v>
      </c>
      <c r="N616" s="31"/>
      <c r="O616" s="31"/>
      <c r="P616" s="31"/>
      <c r="Q616" s="31"/>
      <c r="R616" s="31">
        <v>26.524999999999999</v>
      </c>
      <c r="S616" s="31"/>
      <c r="T616" s="31" t="s">
        <v>433</v>
      </c>
      <c r="U616" s="31" t="str">
        <f>LEFT(Table3[[#This Row],[Stage]],FIND(".",Table3[[#This Row],[Stage]],1)-1)</f>
        <v>26</v>
      </c>
      <c r="V616" s="31" t="str">
        <f>VLOOKUP(ABS(Table3[[#This Row],[Type]]),[1]!Table9[#All],2)</f>
        <v>Painting</v>
      </c>
    </row>
    <row r="617" spans="1:22" x14ac:dyDescent="0.45">
      <c r="A617" s="55">
        <v>44744</v>
      </c>
      <c r="B617" t="s">
        <v>671</v>
      </c>
      <c r="C617" s="57">
        <v>3.06</v>
      </c>
      <c r="D617" s="90" t="s">
        <v>520</v>
      </c>
      <c r="E617" t="s">
        <v>71</v>
      </c>
      <c r="F617" s="58"/>
      <c r="G617" s="214">
        <v>1</v>
      </c>
      <c r="H617" s="58">
        <v>684.13</v>
      </c>
      <c r="I617" s="58"/>
      <c r="J617" s="109">
        <f>(Table3[[#This Row],[QTY]]*Table3[[#This Row],[Supplies Cost]])+Table3[[#This Row],[Tax/Fees]]</f>
        <v>684.13</v>
      </c>
      <c r="L617" s="4" t="s">
        <v>33</v>
      </c>
      <c r="M617" s="1" t="s">
        <v>47</v>
      </c>
      <c r="N617" s="40"/>
      <c r="O617" s="40"/>
      <c r="P617" s="40"/>
      <c r="Q617" s="40"/>
      <c r="R617" s="40">
        <v>3.0619999999999998</v>
      </c>
      <c r="S617" s="40"/>
      <c r="T617" s="40" t="s">
        <v>672</v>
      </c>
      <c r="U617" s="40" t="str">
        <f>LEFT(Table3[[#This Row],[Stage]],FIND(".",Table3[[#This Row],[Stage]],1)-1)</f>
        <v>3</v>
      </c>
      <c r="V617" s="40" t="str">
        <f>VLOOKUP(ABS(Table3[[#This Row],[Type]]),[1]!Table9[#All],2)</f>
        <v>Masonary</v>
      </c>
    </row>
    <row r="618" spans="1:22" x14ac:dyDescent="0.45">
      <c r="A618" s="55">
        <v>44746</v>
      </c>
      <c r="B618" t="s">
        <v>673</v>
      </c>
      <c r="C618" s="57">
        <v>7.7</v>
      </c>
      <c r="D618" s="90" t="s">
        <v>399</v>
      </c>
      <c r="E618" t="s">
        <v>71</v>
      </c>
      <c r="F618" s="58"/>
      <c r="G618" s="214">
        <v>1</v>
      </c>
      <c r="H618" s="58">
        <v>1050.58</v>
      </c>
      <c r="I618" s="28"/>
      <c r="J618" s="109">
        <f>(Table3[[#This Row],[QTY]]*Table3[[#This Row],[Supplies Cost]])+Table3[[#This Row],[Tax/Fees]]</f>
        <v>1050.58</v>
      </c>
      <c r="L618" s="4" t="s">
        <v>33</v>
      </c>
      <c r="M618" s="1" t="s">
        <v>47</v>
      </c>
      <c r="N618" s="40"/>
      <c r="O618" s="40"/>
      <c r="P618" s="40"/>
      <c r="Q618" s="40"/>
      <c r="R618" s="40">
        <v>7.7149999999999999</v>
      </c>
      <c r="S618" s="40"/>
      <c r="T618" s="40" t="s">
        <v>658</v>
      </c>
      <c r="U618" s="40" t="str">
        <f>LEFT(Table3[[#This Row],[Stage]],FIND(".",Table3[[#This Row],[Stage]],1)-1)</f>
        <v>7</v>
      </c>
      <c r="V618" s="40" t="str">
        <f>VLOOKUP(ABS(Table3[[#This Row],[Type]]),[1]!Table9[#All],2)</f>
        <v>Carpentry</v>
      </c>
    </row>
    <row r="619" spans="1:22" x14ac:dyDescent="0.45">
      <c r="A619" s="55">
        <v>44747</v>
      </c>
      <c r="B619" t="s">
        <v>674</v>
      </c>
      <c r="C619" s="57">
        <v>25.1</v>
      </c>
      <c r="D619" s="90" t="s">
        <v>399</v>
      </c>
      <c r="E619" t="s">
        <v>675</v>
      </c>
      <c r="F619" s="28"/>
      <c r="G619" s="214">
        <v>1</v>
      </c>
      <c r="H619" s="28">
        <v>159</v>
      </c>
      <c r="I619" s="28">
        <f>$I$5*(Table3[[#This Row],[Supplies Cost]]*Table3[[#This Row],[QTY]])</f>
        <v>27.824999999999999</v>
      </c>
      <c r="J619" s="109">
        <f>(Table3[[#This Row],[QTY]]*Table3[[#This Row],[Supplies Cost]])+Table3[[#This Row],[Tax/Fees]]</f>
        <v>186.82499999999999</v>
      </c>
      <c r="L619" s="4" t="s">
        <v>33</v>
      </c>
      <c r="M619" s="1" t="s">
        <v>47</v>
      </c>
      <c r="N619" s="31"/>
      <c r="O619" s="31"/>
      <c r="P619" s="31"/>
      <c r="Q619" s="31"/>
      <c r="R619" s="31">
        <v>25.125</v>
      </c>
      <c r="S619" s="31"/>
      <c r="T619" s="31" t="s">
        <v>568</v>
      </c>
      <c r="U619" s="31" t="str">
        <f>LEFT(Table3[[#This Row],[Stage]],FIND(".",Table3[[#This Row],[Stage]],1)-1)</f>
        <v>25</v>
      </c>
      <c r="V619" s="31" t="str">
        <f>VLOOKUP(ABS(Table3[[#This Row],[Type]]),[1]!Table9[#All],2)</f>
        <v>Tiling</v>
      </c>
    </row>
    <row r="620" spans="1:22" x14ac:dyDescent="0.45">
      <c r="A620" s="218">
        <v>44747</v>
      </c>
      <c r="B620" t="s">
        <v>676</v>
      </c>
      <c r="C620" s="57">
        <v>25.1</v>
      </c>
      <c r="D620" s="90" t="s">
        <v>399</v>
      </c>
      <c r="E620" t="s">
        <v>677</v>
      </c>
      <c r="F620" s="28"/>
      <c r="G620" s="214">
        <v>1</v>
      </c>
      <c r="H620" s="28">
        <v>553.84</v>
      </c>
      <c r="I620" s="28">
        <f>$I$5*(Table3[[#This Row],[Supplies Cost]]*Table3[[#This Row],[QTY]])</f>
        <v>96.921999999999997</v>
      </c>
      <c r="J620" s="109">
        <f>(Table3[[#This Row],[QTY]]*Table3[[#This Row],[Supplies Cost]])+Table3[[#This Row],[Tax/Fees]]</f>
        <v>650.76200000000006</v>
      </c>
      <c r="L620" s="4" t="s">
        <v>33</v>
      </c>
      <c r="M620" s="1" t="s">
        <v>47</v>
      </c>
      <c r="N620" s="31"/>
      <c r="O620" s="31"/>
      <c r="P620" s="31"/>
      <c r="Q620" s="31"/>
      <c r="R620" s="31">
        <v>25.13</v>
      </c>
      <c r="S620" s="31"/>
      <c r="T620" s="31" t="s">
        <v>658</v>
      </c>
      <c r="U620" s="31" t="str">
        <f>LEFT(Table3[[#This Row],[Stage]],FIND(".",Table3[[#This Row],[Stage]],1)-1)</f>
        <v>25</v>
      </c>
      <c r="V620" s="31" t="str">
        <f>VLOOKUP(ABS(Table3[[#This Row],[Type]]),[1]!Table9[#All],2)</f>
        <v>Tiling</v>
      </c>
    </row>
    <row r="621" spans="1:22" x14ac:dyDescent="0.45">
      <c r="A621" s="218">
        <v>44749</v>
      </c>
      <c r="B621" t="s">
        <v>403</v>
      </c>
      <c r="C621" s="34">
        <v>7.7</v>
      </c>
      <c r="D621" s="40" t="s">
        <v>399</v>
      </c>
      <c r="E621" t="s">
        <v>69</v>
      </c>
      <c r="F621" s="28"/>
      <c r="G621" s="214">
        <v>1</v>
      </c>
      <c r="H621" s="28">
        <v>19.47</v>
      </c>
      <c r="I621" s="28"/>
      <c r="J621" s="109">
        <f>(Table3[[#This Row],[QTY]]*Table3[[#This Row],[Supplies Cost]])+Table3[[#This Row],[Tax/Fees]]</f>
        <v>19.47</v>
      </c>
      <c r="L621" s="4" t="s">
        <v>33</v>
      </c>
      <c r="M621" s="1" t="s">
        <v>47</v>
      </c>
      <c r="N621" s="31"/>
      <c r="O621" s="1" t="s">
        <v>678</v>
      </c>
      <c r="P621" s="31"/>
      <c r="Q621" s="31"/>
      <c r="R621" s="31">
        <v>7.76</v>
      </c>
      <c r="S621" s="31"/>
      <c r="T621" s="31" t="s">
        <v>658</v>
      </c>
      <c r="U621" s="31" t="str">
        <f>LEFT(Table3[[#This Row],[Stage]],FIND(".",Table3[[#This Row],[Stage]],1)-1)</f>
        <v>7</v>
      </c>
      <c r="V621" s="31" t="str">
        <f>VLOOKUP(ABS(Table3[[#This Row],[Type]]),[1]!Table9[#All],2)</f>
        <v>Carpentry</v>
      </c>
    </row>
    <row r="622" spans="1:22" x14ac:dyDescent="0.45">
      <c r="A622" s="218">
        <v>44749</v>
      </c>
      <c r="B622" t="s">
        <v>679</v>
      </c>
      <c r="C622" s="34">
        <v>7.7</v>
      </c>
      <c r="D622" s="40" t="s">
        <v>399</v>
      </c>
      <c r="E622" t="s">
        <v>69</v>
      </c>
      <c r="F622" s="28"/>
      <c r="G622" s="214">
        <v>1</v>
      </c>
      <c r="H622" s="28">
        <v>42.3</v>
      </c>
      <c r="I622" s="28"/>
      <c r="J622" s="109">
        <f>(Table3[[#This Row],[QTY]]*Table3[[#This Row],[Supplies Cost]])+Table3[[#This Row],[Tax/Fees]]</f>
        <v>42.3</v>
      </c>
      <c r="L622" s="4" t="s">
        <v>33</v>
      </c>
      <c r="M622" s="1" t="s">
        <v>47</v>
      </c>
      <c r="N622" s="31"/>
      <c r="O622" s="1" t="s">
        <v>680</v>
      </c>
      <c r="P622" s="31"/>
      <c r="Q622" s="31"/>
      <c r="R622" s="31">
        <v>7.7649999999999997</v>
      </c>
      <c r="S622" s="31"/>
      <c r="T622" s="31" t="s">
        <v>658</v>
      </c>
      <c r="U622" s="31" t="str">
        <f>LEFT(Table3[[#This Row],[Stage]],FIND(".",Table3[[#This Row],[Stage]],1)-1)</f>
        <v>7</v>
      </c>
      <c r="V622" s="31" t="str">
        <f>VLOOKUP(ABS(Table3[[#This Row],[Type]]),[1]!Table9[#All],2)</f>
        <v>Carpentry</v>
      </c>
    </row>
    <row r="623" spans="1:22" x14ac:dyDescent="0.45">
      <c r="A623" s="218">
        <v>44749</v>
      </c>
      <c r="B623" t="s">
        <v>679</v>
      </c>
      <c r="C623" s="34">
        <v>7.7</v>
      </c>
      <c r="D623" s="40" t="s">
        <v>399</v>
      </c>
      <c r="E623" t="s">
        <v>69</v>
      </c>
      <c r="F623" s="28"/>
      <c r="G623" s="214">
        <v>1</v>
      </c>
      <c r="H623" s="28">
        <v>102.07</v>
      </c>
      <c r="I623" s="28"/>
      <c r="J623" s="109">
        <f>(Table3[[#This Row],[QTY]]*Table3[[#This Row],[Supplies Cost]])+Table3[[#This Row],[Tax/Fees]]</f>
        <v>102.07</v>
      </c>
      <c r="L623" s="4" t="s">
        <v>33</v>
      </c>
      <c r="M623" s="1" t="s">
        <v>47</v>
      </c>
      <c r="N623" s="31"/>
      <c r="O623" s="1" t="s">
        <v>681</v>
      </c>
      <c r="P623" s="31"/>
      <c r="Q623" s="31"/>
      <c r="R623" s="31">
        <v>7.77</v>
      </c>
      <c r="S623" s="31"/>
      <c r="T623" s="31" t="s">
        <v>658</v>
      </c>
      <c r="U623" s="31" t="str">
        <f>LEFT(Table3[[#This Row],[Stage]],FIND(".",Table3[[#This Row],[Stage]],1)-1)</f>
        <v>7</v>
      </c>
      <c r="V623" s="31" t="str">
        <f>VLOOKUP(ABS(Table3[[#This Row],[Type]]),[1]!Table9[#All],2)</f>
        <v>Carpentry</v>
      </c>
    </row>
    <row r="624" spans="1:22" x14ac:dyDescent="0.45">
      <c r="A624" s="218">
        <v>44749</v>
      </c>
      <c r="B624" t="s">
        <v>682</v>
      </c>
      <c r="C624" s="34">
        <v>10.38</v>
      </c>
      <c r="D624" s="40" t="s">
        <v>399</v>
      </c>
      <c r="E624" t="s">
        <v>69</v>
      </c>
      <c r="F624" s="28"/>
      <c r="G624" s="214">
        <v>1</v>
      </c>
      <c r="H624" s="28">
        <v>160.25</v>
      </c>
      <c r="I624" s="28"/>
      <c r="J624" s="109">
        <f>(Table3[[#This Row],[QTY]]*Table3[[#This Row],[Supplies Cost]])+Table3[[#This Row],[Tax/Fees]]</f>
        <v>160.25</v>
      </c>
      <c r="L624" s="4" t="s">
        <v>33</v>
      </c>
      <c r="M624" s="1" t="s">
        <v>47</v>
      </c>
      <c r="N624" s="31"/>
      <c r="O624" s="1" t="s">
        <v>683</v>
      </c>
      <c r="P624" s="31"/>
      <c r="Q624" s="31"/>
      <c r="R624" s="31">
        <v>10.387499999999999</v>
      </c>
      <c r="S624" s="31"/>
      <c r="T624" s="31" t="s">
        <v>50</v>
      </c>
      <c r="U624" s="31" t="str">
        <f>LEFT(Table3[[#This Row],[Stage]],FIND(".",Table3[[#This Row],[Stage]],1)-1)</f>
        <v>10</v>
      </c>
      <c r="V624" s="31" t="str">
        <f>VLOOKUP(ABS(Table3[[#This Row],[Type]]),[1]!Table9[#All],2)</f>
        <v>Plumbing</v>
      </c>
    </row>
    <row r="625" spans="1:22" x14ac:dyDescent="0.45">
      <c r="A625" s="218">
        <v>44749</v>
      </c>
      <c r="B625" t="s">
        <v>684</v>
      </c>
      <c r="C625" s="34">
        <v>7.7</v>
      </c>
      <c r="D625" s="40" t="s">
        <v>399</v>
      </c>
      <c r="E625" t="s">
        <v>69</v>
      </c>
      <c r="F625" s="28"/>
      <c r="G625" s="214">
        <v>1</v>
      </c>
      <c r="H625" s="28">
        <v>38.99</v>
      </c>
      <c r="I625" s="28"/>
      <c r="J625" s="109">
        <f>(Table3[[#This Row],[QTY]]*Table3[[#This Row],[Supplies Cost]])+Table3[[#This Row],[Tax/Fees]]</f>
        <v>38.99</v>
      </c>
      <c r="L625" s="4" t="s">
        <v>33</v>
      </c>
      <c r="M625" s="1" t="s">
        <v>47</v>
      </c>
      <c r="N625" s="31"/>
      <c r="O625" s="31" t="s">
        <v>685</v>
      </c>
      <c r="P625" s="31"/>
      <c r="Q625" s="31"/>
      <c r="R625" s="31">
        <v>7.78</v>
      </c>
      <c r="S625" s="31"/>
      <c r="T625" s="31" t="s">
        <v>658</v>
      </c>
      <c r="U625" s="31" t="str">
        <f>LEFT(Table3[[#This Row],[Stage]],FIND(".",Table3[[#This Row],[Stage]],1)-1)</f>
        <v>7</v>
      </c>
      <c r="V625" s="31" t="str">
        <f>VLOOKUP(ABS(Table3[[#This Row],[Type]]),[1]!Table9[#All],2)</f>
        <v>Carpentry</v>
      </c>
    </row>
    <row r="626" spans="1:22" x14ac:dyDescent="0.45">
      <c r="A626" s="218">
        <v>44750</v>
      </c>
      <c r="B626" t="s">
        <v>686</v>
      </c>
      <c r="C626" s="34">
        <v>7.9</v>
      </c>
      <c r="D626" s="40" t="s">
        <v>399</v>
      </c>
      <c r="E626" t="s">
        <v>108</v>
      </c>
      <c r="F626" s="28"/>
      <c r="G626" s="214">
        <v>1</v>
      </c>
      <c r="H626" s="28">
        <v>443.86</v>
      </c>
      <c r="I626" s="28"/>
      <c r="J626" s="109">
        <f>(Table3[[#This Row],[QTY]]*Table3[[#This Row],[Supplies Cost]])+Table3[[#This Row],[Tax/Fees]]</f>
        <v>443.86</v>
      </c>
      <c r="L626" s="4" t="s">
        <v>33</v>
      </c>
      <c r="M626" s="1" t="s">
        <v>47</v>
      </c>
      <c r="N626" s="31"/>
      <c r="O626" s="31"/>
      <c r="P626" s="31"/>
      <c r="Q626" s="31"/>
      <c r="R626" s="31">
        <v>7.9349999999999996</v>
      </c>
      <c r="S626" s="31"/>
      <c r="T626" s="31" t="s">
        <v>160</v>
      </c>
      <c r="U626" s="31" t="str">
        <f>LEFT(Table3[[#This Row],[Stage]],FIND(".",Table3[[#This Row],[Stage]],1)-1)</f>
        <v>7</v>
      </c>
      <c r="V626" s="31" t="str">
        <f>VLOOKUP(ABS(Table3[[#This Row],[Type]]),[1]!Table9[#All],2)</f>
        <v>Carpentry</v>
      </c>
    </row>
    <row r="627" spans="1:22" x14ac:dyDescent="0.45">
      <c r="A627" s="218">
        <v>44753</v>
      </c>
      <c r="B627" t="s">
        <v>687</v>
      </c>
      <c r="C627" s="34">
        <v>25.1</v>
      </c>
      <c r="D627" s="40" t="s">
        <v>399</v>
      </c>
      <c r="E627" t="s">
        <v>71</v>
      </c>
      <c r="F627" s="28"/>
      <c r="G627" s="214">
        <v>1</v>
      </c>
      <c r="H627" s="28">
        <v>703.83</v>
      </c>
      <c r="I627" s="28"/>
      <c r="J627" s="109">
        <f>(Table3[[#This Row],[QTY]]*Table3[[#This Row],[Supplies Cost]])+Table3[[#This Row],[Tax/Fees]]</f>
        <v>703.83</v>
      </c>
      <c r="L627" s="4" t="s">
        <v>33</v>
      </c>
      <c r="M627" s="1" t="s">
        <v>47</v>
      </c>
      <c r="N627" s="31"/>
      <c r="O627" s="31"/>
      <c r="P627" s="31"/>
      <c r="Q627" s="31"/>
      <c r="R627" s="31">
        <v>7.7949999999999999</v>
      </c>
      <c r="S627" s="31"/>
      <c r="T627" s="31" t="s">
        <v>568</v>
      </c>
      <c r="U627" s="31" t="str">
        <f>LEFT(Table3[[#This Row],[Stage]],FIND(".",Table3[[#This Row],[Stage]],1)-1)</f>
        <v>25</v>
      </c>
      <c r="V627" s="31" t="str">
        <f>VLOOKUP(ABS(Table3[[#This Row],[Type]]),[1]!Table9[#All],2)</f>
        <v>Tiling</v>
      </c>
    </row>
    <row r="628" spans="1:22" x14ac:dyDescent="0.45">
      <c r="A628" s="218">
        <v>44753</v>
      </c>
      <c r="B628" t="s">
        <v>688</v>
      </c>
      <c r="C628" s="57">
        <v>3.06</v>
      </c>
      <c r="D628" s="90" t="s">
        <v>520</v>
      </c>
      <c r="E628" t="s">
        <v>71</v>
      </c>
      <c r="F628" s="28"/>
      <c r="G628" s="214">
        <v>1</v>
      </c>
      <c r="H628" s="28">
        <v>238.29</v>
      </c>
      <c r="I628" s="28"/>
      <c r="J628" s="109">
        <f>(Table3[[#This Row],[QTY]]*Table3[[#This Row],[Supplies Cost]])+Table3[[#This Row],[Tax/Fees]]</f>
        <v>238.29</v>
      </c>
      <c r="L628" s="4" t="s">
        <v>33</v>
      </c>
      <c r="M628" s="1" t="s">
        <v>47</v>
      </c>
      <c r="N628" s="31"/>
      <c r="O628" s="31"/>
      <c r="P628" s="31"/>
      <c r="Q628" s="31"/>
      <c r="R628" s="31">
        <v>3.069</v>
      </c>
      <c r="S628" s="31"/>
      <c r="T628" s="31" t="s">
        <v>160</v>
      </c>
      <c r="U628" s="31" t="str">
        <f>LEFT(Table3[[#This Row],[Stage]],FIND(".",Table3[[#This Row],[Stage]],1)-1)</f>
        <v>3</v>
      </c>
      <c r="V628" s="31" t="str">
        <f>VLOOKUP(ABS(Table3[[#This Row],[Type]]),[1]!Table9[#All],2)</f>
        <v>Masonary</v>
      </c>
    </row>
    <row r="629" spans="1:22" x14ac:dyDescent="0.45">
      <c r="A629" s="218">
        <v>44753</v>
      </c>
      <c r="B629" t="s">
        <v>121</v>
      </c>
      <c r="C629" s="34">
        <v>1.1100000000000001</v>
      </c>
      <c r="D629" s="90" t="s">
        <v>122</v>
      </c>
      <c r="E629" t="s">
        <v>448</v>
      </c>
      <c r="F629" s="28"/>
      <c r="G629" s="214">
        <v>1</v>
      </c>
      <c r="H629" s="28">
        <v>54000</v>
      </c>
      <c r="I629" s="28">
        <v>-168.75</v>
      </c>
      <c r="J629" s="109">
        <f>(Table3[[#This Row],[QTY]]*Table3[[#This Row],[Supplies Cost]])+Table3[[#This Row],[Tax/Fees]]</f>
        <v>53831.25</v>
      </c>
      <c r="L629" s="4" t="s">
        <v>33</v>
      </c>
      <c r="M629" s="1" t="s">
        <v>124</v>
      </c>
      <c r="N629" s="31"/>
      <c r="O629" s="31"/>
      <c r="P629" s="31"/>
      <c r="Q629" s="31"/>
      <c r="R629" s="31">
        <v>7.78</v>
      </c>
      <c r="S629" s="31"/>
      <c r="T629" s="31" t="s">
        <v>60</v>
      </c>
      <c r="U629" s="31" t="str">
        <f>LEFT(Table3[[#This Row],[Stage]],FIND(".",Table3[[#This Row],[Stage]],1)-1)</f>
        <v>1</v>
      </c>
      <c r="V629" s="31" t="str">
        <f>VLOOKUP(ABS(Table3[[#This Row],[Type]]),[1]!Table9[#All],2)</f>
        <v>Transfers</v>
      </c>
    </row>
    <row r="630" spans="1:22" x14ac:dyDescent="0.45">
      <c r="A630" s="218">
        <v>44754</v>
      </c>
      <c r="B630" t="s">
        <v>570</v>
      </c>
      <c r="C630" s="57">
        <v>25.1</v>
      </c>
      <c r="D630" s="1" t="s">
        <v>399</v>
      </c>
      <c r="E630" t="s">
        <v>71</v>
      </c>
      <c r="F630" s="28"/>
      <c r="G630" s="214">
        <v>1</v>
      </c>
      <c r="H630" s="28">
        <v>449.7</v>
      </c>
      <c r="I630" s="28">
        <f>$I$5*(Table3[[#This Row],[Supplies Cost]]*Table3[[#This Row],[QTY]])</f>
        <v>78.697499999999991</v>
      </c>
      <c r="J630" s="109">
        <f>(Table3[[#This Row],[QTY]]*Table3[[#This Row],[Supplies Cost]])+Table3[[#This Row],[Tax/Fees]]</f>
        <v>528.39750000000004</v>
      </c>
      <c r="L630" s="4" t="s">
        <v>92</v>
      </c>
      <c r="M630" s="1" t="s">
        <v>47</v>
      </c>
      <c r="N630" s="31"/>
      <c r="O630" s="31" t="s">
        <v>689</v>
      </c>
      <c r="P630" s="31"/>
      <c r="Q630" s="31"/>
      <c r="R630" s="31"/>
      <c r="S630" s="31"/>
      <c r="T630" s="31" t="s">
        <v>568</v>
      </c>
      <c r="U630" s="31" t="str">
        <f>LEFT(Table3[[#This Row],[Stage]],FIND(".",Table3[[#This Row],[Stage]],1)-1)</f>
        <v>25</v>
      </c>
      <c r="V630" s="31" t="str">
        <f>VLOOKUP(ABS(Table3[[#This Row],[Type]]),[1]!Table9[#All],2)</f>
        <v>Tiling</v>
      </c>
    </row>
    <row r="631" spans="1:22" ht="30.75" x14ac:dyDescent="0.45">
      <c r="A631" s="218">
        <v>44754</v>
      </c>
      <c r="B631" t="s">
        <v>690</v>
      </c>
      <c r="C631" s="57">
        <v>3.8</v>
      </c>
      <c r="D631" s="40" t="s">
        <v>399</v>
      </c>
      <c r="E631" t="s">
        <v>71</v>
      </c>
      <c r="F631" s="28"/>
      <c r="G631" s="214">
        <v>1</v>
      </c>
      <c r="H631" s="28">
        <f>8.17+4.84</f>
        <v>13.01</v>
      </c>
      <c r="I631" s="28">
        <f>$I$5*(Table3[[#This Row],[Supplies Cost]]*Table3[[#This Row],[QTY]])</f>
        <v>2.2767499999999998</v>
      </c>
      <c r="J631" s="109">
        <f>(Table3[[#This Row],[QTY]]*Table3[[#This Row],[Supplies Cost]])+Table3[[#This Row],[Tax/Fees]]</f>
        <v>15.28675</v>
      </c>
      <c r="L631" s="4" t="s">
        <v>92</v>
      </c>
      <c r="M631" s="1" t="s">
        <v>47</v>
      </c>
      <c r="N631" s="31"/>
      <c r="O631" s="31" t="s">
        <v>689</v>
      </c>
      <c r="P631" s="31"/>
      <c r="Q631" s="31"/>
      <c r="R631" s="31"/>
      <c r="S631" s="31"/>
      <c r="T631" s="31" t="s">
        <v>649</v>
      </c>
      <c r="U631" s="31" t="str">
        <f>LEFT(Table3[[#This Row],[Stage]],FIND(".",Table3[[#This Row],[Stage]],1)-1)</f>
        <v>3</v>
      </c>
      <c r="V631" s="31" t="str">
        <f>VLOOKUP(ABS(Table3[[#This Row],[Type]]),[1]!Table9[#All],2)</f>
        <v>Masonary</v>
      </c>
    </row>
    <row r="632" spans="1:22" ht="30.75" x14ac:dyDescent="0.45">
      <c r="A632" s="55">
        <v>44754</v>
      </c>
      <c r="B632" t="s">
        <v>600</v>
      </c>
      <c r="C632" s="34">
        <v>3.8</v>
      </c>
      <c r="D632" s="40" t="s">
        <v>399</v>
      </c>
      <c r="E632" t="s">
        <v>71</v>
      </c>
      <c r="F632" s="28"/>
      <c r="G632" s="214">
        <v>1</v>
      </c>
      <c r="H632" s="28">
        <v>126.29</v>
      </c>
      <c r="I632" s="28">
        <f>$I$5*(Table3[[#This Row],[Supplies Cost]]*Table3[[#This Row],[QTY]])</f>
        <v>22.100750000000001</v>
      </c>
      <c r="J632" s="109">
        <f>(Table3[[#This Row],[QTY]]*Table3[[#This Row],[Supplies Cost]])+Table3[[#This Row],[Tax/Fees]]</f>
        <v>148.39075</v>
      </c>
      <c r="L632" s="4" t="s">
        <v>92</v>
      </c>
      <c r="M632" s="1" t="s">
        <v>47</v>
      </c>
      <c r="N632" s="31"/>
      <c r="O632" s="31" t="s">
        <v>689</v>
      </c>
      <c r="P632" s="31"/>
      <c r="Q632" s="31"/>
      <c r="R632" s="31"/>
      <c r="S632" s="31"/>
      <c r="T632" s="31" t="s">
        <v>649</v>
      </c>
      <c r="U632" s="31" t="str">
        <f>LEFT(Table3[[#This Row],[Stage]],FIND(".",Table3[[#This Row],[Stage]],1)-1)</f>
        <v>3</v>
      </c>
      <c r="V632" s="31" t="str">
        <f>VLOOKUP(ABS(Table3[[#This Row],[Type]]),[1]!Table9[#All],2)</f>
        <v>Masonary</v>
      </c>
    </row>
    <row r="633" spans="1:22" ht="30.75" x14ac:dyDescent="0.45">
      <c r="A633" s="218">
        <v>44754</v>
      </c>
      <c r="B633" t="s">
        <v>617</v>
      </c>
      <c r="C633" s="34">
        <v>3.8</v>
      </c>
      <c r="D633" s="31" t="s">
        <v>399</v>
      </c>
      <c r="E633" t="s">
        <v>71</v>
      </c>
      <c r="F633" s="28"/>
      <c r="G633" s="214">
        <v>1</v>
      </c>
      <c r="H633" s="28">
        <v>10</v>
      </c>
      <c r="I633" s="28">
        <f>$I$5*(Table3[[#This Row],[Supplies Cost]]*Table3[[#This Row],[QTY]])</f>
        <v>1.75</v>
      </c>
      <c r="J633" s="109">
        <f>(Table3[[#This Row],[QTY]]*Table3[[#This Row],[Supplies Cost]])+Table3[[#This Row],[Tax/Fees]]</f>
        <v>11.75</v>
      </c>
      <c r="K633" s="203">
        <v>703.82</v>
      </c>
      <c r="L633" s="4" t="s">
        <v>33</v>
      </c>
      <c r="M633" s="1" t="s">
        <v>47</v>
      </c>
      <c r="N633" s="31"/>
      <c r="O633" s="31" t="s">
        <v>689</v>
      </c>
      <c r="P633" s="31"/>
      <c r="Q633" s="31"/>
      <c r="R633" s="31">
        <v>3.8250000000000002</v>
      </c>
      <c r="S633" s="31"/>
      <c r="T633" s="31" t="s">
        <v>649</v>
      </c>
      <c r="U633" s="31" t="str">
        <f>LEFT(Table3[[#This Row],[Stage]],FIND(".",Table3[[#This Row],[Stage]],1)-1)</f>
        <v>3</v>
      </c>
      <c r="V633" s="31" t="str">
        <f>VLOOKUP(ABS(Table3[[#This Row],[Type]]),[1]!Table9[#All],2)</f>
        <v>Masonary</v>
      </c>
    </row>
    <row r="634" spans="1:22" x14ac:dyDescent="0.45">
      <c r="A634" s="218">
        <v>44754</v>
      </c>
      <c r="B634" t="s">
        <v>691</v>
      </c>
      <c r="C634" s="34">
        <v>7.7</v>
      </c>
      <c r="D634" s="40" t="s">
        <v>399</v>
      </c>
      <c r="E634" t="s">
        <v>69</v>
      </c>
      <c r="F634" s="28"/>
      <c r="G634" s="214">
        <v>1</v>
      </c>
      <c r="H634" s="28">
        <f>5418-1935</f>
        <v>3483</v>
      </c>
      <c r="I634" s="28"/>
      <c r="J634" s="109">
        <f>(Table3[[#This Row],[QTY]]*Table3[[#This Row],[Supplies Cost]])+Table3[[#This Row],[Tax/Fees]]</f>
        <v>3483</v>
      </c>
      <c r="L634" s="4" t="s">
        <v>92</v>
      </c>
      <c r="M634" s="1" t="s">
        <v>34</v>
      </c>
      <c r="N634" s="31"/>
      <c r="O634" s="25">
        <v>22070701</v>
      </c>
      <c r="P634" s="31"/>
      <c r="Q634" s="31"/>
      <c r="R634" s="31"/>
      <c r="S634" s="31"/>
      <c r="T634" s="31" t="s">
        <v>658</v>
      </c>
      <c r="U634" s="31" t="str">
        <f>LEFT(Table3[[#This Row],[Stage]],FIND(".",Table3[[#This Row],[Stage]],1)-1)</f>
        <v>7</v>
      </c>
      <c r="V634" s="31" t="str">
        <f>VLOOKUP(ABS(Table3[[#This Row],[Type]]),[1]!Table9[#All],2)</f>
        <v>Carpentry</v>
      </c>
    </row>
    <row r="635" spans="1:22" ht="30.75" x14ac:dyDescent="0.45">
      <c r="A635" s="218">
        <v>44754</v>
      </c>
      <c r="B635" t="s">
        <v>692</v>
      </c>
      <c r="C635" s="34">
        <v>7.7</v>
      </c>
      <c r="D635" s="31" t="s">
        <v>399</v>
      </c>
      <c r="E635" t="s">
        <v>69</v>
      </c>
      <c r="F635" s="28"/>
      <c r="G635" s="214">
        <v>1</v>
      </c>
      <c r="H635" s="28">
        <f>7912.5-6857.5</f>
        <v>1055</v>
      </c>
      <c r="I635" s="28"/>
      <c r="J635" s="109">
        <f>(Table3[[#This Row],[QTY]]*Table3[[#This Row],[Supplies Cost]])+Table3[[#This Row],[Tax/Fees]]</f>
        <v>1055</v>
      </c>
      <c r="L635" s="4" t="s">
        <v>92</v>
      </c>
      <c r="M635" s="1" t="s">
        <v>34</v>
      </c>
      <c r="N635" s="31"/>
      <c r="O635" s="25">
        <v>22070701</v>
      </c>
      <c r="P635" s="31"/>
      <c r="Q635" s="31"/>
      <c r="R635" s="31"/>
      <c r="S635" s="31"/>
      <c r="T635" s="31" t="s">
        <v>616</v>
      </c>
      <c r="U635" s="31" t="str">
        <f>LEFT(Table3[[#This Row],[Stage]],FIND(".",Table3[[#This Row],[Stage]],1)-1)</f>
        <v>7</v>
      </c>
      <c r="V635" s="31" t="str">
        <f>VLOOKUP(ABS(Table3[[#This Row],[Type]]),[1]!Table9[#All],2)</f>
        <v>Carpentry</v>
      </c>
    </row>
    <row r="636" spans="1:22" x14ac:dyDescent="0.45">
      <c r="A636" s="218">
        <v>44754</v>
      </c>
      <c r="B636" t="s">
        <v>629</v>
      </c>
      <c r="C636" s="57">
        <v>25.1</v>
      </c>
      <c r="D636" s="31" t="s">
        <v>399</v>
      </c>
      <c r="E636" t="s">
        <v>69</v>
      </c>
      <c r="F636" s="28"/>
      <c r="G636" s="214">
        <v>1</v>
      </c>
      <c r="H636" s="28">
        <f>16800-15000</f>
        <v>1800</v>
      </c>
      <c r="I636" s="28"/>
      <c r="J636" s="109">
        <f>(Table3[[#This Row],[QTY]]*Table3[[#This Row],[Supplies Cost]])+Table3[[#This Row],[Tax/Fees]]</f>
        <v>1800</v>
      </c>
      <c r="L636" s="4" t="s">
        <v>92</v>
      </c>
      <c r="M636" s="1" t="s">
        <v>34</v>
      </c>
      <c r="N636" s="31"/>
      <c r="O636" s="25">
        <v>22070701</v>
      </c>
      <c r="P636" s="31"/>
      <c r="Q636" s="31"/>
      <c r="R636" s="31"/>
      <c r="S636" s="31"/>
      <c r="T636" s="31" t="s">
        <v>568</v>
      </c>
      <c r="U636" s="31" t="str">
        <f>LEFT(Table3[[#This Row],[Stage]],FIND(".",Table3[[#This Row],[Stage]],1)-1)</f>
        <v>25</v>
      </c>
      <c r="V636" s="31" t="str">
        <f>VLOOKUP(ABS(Table3[[#This Row],[Type]]),[1]!Table9[#All],2)</f>
        <v>Tiling</v>
      </c>
    </row>
    <row r="637" spans="1:22" x14ac:dyDescent="0.45">
      <c r="A637" s="218">
        <v>44754</v>
      </c>
      <c r="B637" t="s">
        <v>693</v>
      </c>
      <c r="C637" s="57">
        <v>25.1</v>
      </c>
      <c r="D637" s="31" t="s">
        <v>399</v>
      </c>
      <c r="E637" t="s">
        <v>69</v>
      </c>
      <c r="F637" s="28"/>
      <c r="G637" s="214">
        <v>1</v>
      </c>
      <c r="H637" s="28">
        <f>4428-3198</f>
        <v>1230</v>
      </c>
      <c r="I637" s="28"/>
      <c r="J637" s="109">
        <f>(Table3[[#This Row],[QTY]]*Table3[[#This Row],[Supplies Cost]])+Table3[[#This Row],[Tax/Fees]]</f>
        <v>1230</v>
      </c>
      <c r="K637" s="203">
        <v>7568</v>
      </c>
      <c r="L637" s="4" t="s">
        <v>33</v>
      </c>
      <c r="M637" s="1" t="s">
        <v>34</v>
      </c>
      <c r="N637" s="31"/>
      <c r="O637" s="25">
        <v>22070701</v>
      </c>
      <c r="P637" s="31"/>
      <c r="Q637" s="31"/>
      <c r="R637" s="31">
        <v>7.7549999999999999</v>
      </c>
      <c r="S637" s="31"/>
      <c r="T637" s="31" t="s">
        <v>568</v>
      </c>
      <c r="U637" s="31" t="str">
        <f>LEFT(Table3[[#This Row],[Stage]],FIND(".",Table3[[#This Row],[Stage]],1)-1)</f>
        <v>25</v>
      </c>
      <c r="V637" s="31" t="str">
        <f>VLOOKUP(ABS(Table3[[#This Row],[Type]]),[1]!Table9[#All],2)</f>
        <v>Tiling</v>
      </c>
    </row>
    <row r="638" spans="1:22" ht="30.75" x14ac:dyDescent="0.45">
      <c r="A638" s="55">
        <v>44754</v>
      </c>
      <c r="B638" t="s">
        <v>694</v>
      </c>
      <c r="C638" s="34">
        <v>3.8</v>
      </c>
      <c r="D638" s="40" t="s">
        <v>399</v>
      </c>
      <c r="E638" t="s">
        <v>67</v>
      </c>
      <c r="F638" s="28"/>
      <c r="G638" s="214">
        <v>1</v>
      </c>
      <c r="H638" s="28">
        <v>10000</v>
      </c>
      <c r="I638" s="28"/>
      <c r="J638" s="109">
        <f>(Table3[[#This Row],[QTY]]*Table3[[#This Row],[Supplies Cost]])+Table3[[#This Row],[Tax/Fees]]</f>
        <v>10000</v>
      </c>
      <c r="L638" s="4" t="s">
        <v>33</v>
      </c>
      <c r="M638" s="1" t="s">
        <v>34</v>
      </c>
      <c r="N638" s="31"/>
      <c r="O638" s="31"/>
      <c r="P638" s="31"/>
      <c r="Q638" s="31"/>
      <c r="R638" s="31">
        <v>3.81</v>
      </c>
      <c r="S638" s="31"/>
      <c r="T638" s="31" t="s">
        <v>649</v>
      </c>
      <c r="U638" s="31" t="str">
        <f>LEFT(Table3[[#This Row],[Stage]],FIND(".",Table3[[#This Row],[Stage]],1)-1)</f>
        <v>3</v>
      </c>
      <c r="V638" s="31" t="str">
        <f>VLOOKUP(ABS(Table3[[#This Row],[Type]]),[1]!Table9[#All],2)</f>
        <v>Masonary</v>
      </c>
    </row>
    <row r="639" spans="1:22" x14ac:dyDescent="0.45">
      <c r="A639" s="218">
        <v>44756</v>
      </c>
      <c r="B639" t="s">
        <v>695</v>
      </c>
      <c r="C639" s="130">
        <v>8.0399999999999991</v>
      </c>
      <c r="D639" s="142" t="s">
        <v>358</v>
      </c>
      <c r="E639" t="s">
        <v>575</v>
      </c>
      <c r="F639" s="28"/>
      <c r="G639" s="214">
        <v>1</v>
      </c>
      <c r="H639" s="28">
        <v>2368.66</v>
      </c>
      <c r="I639" s="28">
        <f>$I$5*(Table3[[#This Row],[Supplies Cost]]*Table3[[#This Row],[QTY]])</f>
        <v>414.51549999999997</v>
      </c>
      <c r="J639" s="109">
        <f>(Table3[[#This Row],[QTY]]*Table3[[#This Row],[Supplies Cost]])+Table3[[#This Row],[Tax/Fees]]</f>
        <v>2783.1754999999998</v>
      </c>
      <c r="L639" s="4" t="s">
        <v>33</v>
      </c>
      <c r="M639" s="1" t="s">
        <v>47</v>
      </c>
      <c r="N639" s="31"/>
      <c r="O639" s="31"/>
      <c r="P639" s="31"/>
      <c r="Q639" s="31"/>
      <c r="R639" s="31">
        <v>8.0455000000000005</v>
      </c>
      <c r="S639" s="31"/>
      <c r="T639" s="31" t="s">
        <v>53</v>
      </c>
      <c r="U639" s="31" t="str">
        <f>LEFT(Table3[[#This Row],[Stage]],FIND(".",Table3[[#This Row],[Stage]],1)-1)</f>
        <v>8</v>
      </c>
      <c r="V639" s="31" t="str">
        <f>VLOOKUP(ABS(Table3[[#This Row],[Type]]),[1]!Table9[#All],2)</f>
        <v>Administrative</v>
      </c>
    </row>
    <row r="640" spans="1:22" x14ac:dyDescent="0.45">
      <c r="A640" s="218">
        <v>44757</v>
      </c>
      <c r="B640" t="s">
        <v>696</v>
      </c>
      <c r="C640" s="220">
        <v>7.7</v>
      </c>
      <c r="D640" s="31" t="s">
        <v>399</v>
      </c>
      <c r="E640" t="s">
        <v>697</v>
      </c>
      <c r="F640" s="28"/>
      <c r="G640" s="214">
        <v>1</v>
      </c>
      <c r="H640" s="28">
        <v>1259</v>
      </c>
      <c r="I640" s="28"/>
      <c r="J640" s="109">
        <f>(Table3[[#This Row],[QTY]]*Table3[[#This Row],[Supplies Cost]])+Table3[[#This Row],[Tax/Fees]]</f>
        <v>1259</v>
      </c>
      <c r="L640" s="4" t="s">
        <v>33</v>
      </c>
      <c r="M640" s="1" t="s">
        <v>34</v>
      </c>
      <c r="N640" s="31"/>
      <c r="O640" s="31"/>
      <c r="P640" s="31"/>
      <c r="Q640" s="31"/>
      <c r="R640" s="31">
        <v>7.75</v>
      </c>
      <c r="S640" s="31"/>
      <c r="T640" s="31" t="s">
        <v>698</v>
      </c>
      <c r="U640" s="31" t="str">
        <f>LEFT(Table3[[#This Row],[Stage]],FIND(".",Table3[[#This Row],[Stage]],1)-1)</f>
        <v>7</v>
      </c>
      <c r="V640" s="31" t="str">
        <f>VLOOKUP(ABS(Table3[[#This Row],[Type]]),[1]!Table9[#All],2)</f>
        <v>Carpentry</v>
      </c>
    </row>
    <row r="641" spans="1:22" ht="30.75" x14ac:dyDescent="0.45">
      <c r="A641" s="55">
        <v>44759</v>
      </c>
      <c r="B641" t="s">
        <v>699</v>
      </c>
      <c r="C641" s="34">
        <v>3.8</v>
      </c>
      <c r="D641" s="31" t="s">
        <v>358</v>
      </c>
      <c r="E641" t="s">
        <v>71</v>
      </c>
      <c r="F641" s="58"/>
      <c r="G641" s="214">
        <v>1</v>
      </c>
      <c r="H641" s="58">
        <v>238.29</v>
      </c>
      <c r="I641" s="28"/>
      <c r="J641" s="109">
        <f>(Table3[[#This Row],[QTY]]*Table3[[#This Row],[Supplies Cost]])+Table3[[#This Row],[Tax/Fees]]</f>
        <v>238.29</v>
      </c>
      <c r="L641" s="4" t="s">
        <v>33</v>
      </c>
      <c r="M641" s="1" t="s">
        <v>47</v>
      </c>
      <c r="N641" s="31"/>
      <c r="O641" s="31"/>
      <c r="P641" s="31"/>
      <c r="Q641" s="31"/>
      <c r="R641" s="31">
        <v>3.8650000000000002</v>
      </c>
      <c r="S641" s="31"/>
      <c r="T641" s="31" t="s">
        <v>649</v>
      </c>
      <c r="U641" s="31" t="str">
        <f>LEFT(Table3[[#This Row],[Stage]],FIND(".",Table3[[#This Row],[Stage]],1)-1)</f>
        <v>3</v>
      </c>
      <c r="V641" s="31" t="str">
        <f>VLOOKUP(ABS(Table3[[#This Row],[Type]]),[1]!Table9[#All],2)</f>
        <v>Masonary</v>
      </c>
    </row>
    <row r="642" spans="1:22" x14ac:dyDescent="0.45">
      <c r="A642" s="218">
        <v>44760</v>
      </c>
      <c r="B642" s="221" t="s">
        <v>546</v>
      </c>
      <c r="C642">
        <v>26.2</v>
      </c>
      <c r="D642" s="27" t="s">
        <v>358</v>
      </c>
      <c r="E642" t="s">
        <v>71</v>
      </c>
      <c r="F642" s="28"/>
      <c r="G642" s="214">
        <v>1</v>
      </c>
      <c r="H642" s="28">
        <v>582.35</v>
      </c>
      <c r="I642" s="28"/>
      <c r="J642" s="109">
        <f>(Table3[[#This Row],[QTY]]*Table3[[#This Row],[Supplies Cost]])+Table3[[#This Row],[Tax/Fees]]</f>
        <v>582.35</v>
      </c>
      <c r="L642" s="4" t="s">
        <v>33</v>
      </c>
      <c r="M642" s="1" t="s">
        <v>47</v>
      </c>
      <c r="N642" s="31"/>
      <c r="O642" s="31"/>
      <c r="P642" s="31"/>
      <c r="Q642" s="31"/>
      <c r="R642" s="31">
        <v>26.26</v>
      </c>
      <c r="S642" s="31"/>
      <c r="T642" s="31" t="s">
        <v>433</v>
      </c>
      <c r="U642" s="31" t="str">
        <f>LEFT(Table3[[#This Row],[Stage]],FIND(".",Table3[[#This Row],[Stage]],1)-1)</f>
        <v>26</v>
      </c>
      <c r="V642" s="31" t="str">
        <f>VLOOKUP(ABS(Table3[[#This Row],[Type]]),[1]!Table9[#All],2)</f>
        <v>Painting</v>
      </c>
    </row>
    <row r="643" spans="1:22" ht="15.75" x14ac:dyDescent="0.45">
      <c r="A643" s="218">
        <v>44760</v>
      </c>
      <c r="B643" s="222" t="s">
        <v>700</v>
      </c>
      <c r="C643">
        <v>26.41</v>
      </c>
      <c r="D643" s="27" t="s">
        <v>358</v>
      </c>
      <c r="E643" t="s">
        <v>470</v>
      </c>
      <c r="F643" s="28"/>
      <c r="G643" s="214">
        <v>1</v>
      </c>
      <c r="H643" s="28">
        <v>1600</v>
      </c>
      <c r="I643" s="28"/>
      <c r="J643" s="109">
        <f>(Table3[[#This Row],[QTY]]*Table3[[#This Row],[Supplies Cost]])+Table3[[#This Row],[Tax/Fees]]</f>
        <v>1600</v>
      </c>
      <c r="L643" s="4" t="s">
        <v>33</v>
      </c>
      <c r="M643" s="1" t="s">
        <v>34</v>
      </c>
      <c r="N643" s="31"/>
      <c r="O643" s="31"/>
      <c r="P643" s="31"/>
      <c r="Q643" s="31"/>
      <c r="R643" s="31">
        <v>26.417000000000002</v>
      </c>
      <c r="S643" s="31"/>
      <c r="T643" s="31" t="s">
        <v>433</v>
      </c>
      <c r="U643" s="31" t="str">
        <f>LEFT(Table3[[#This Row],[Stage]],FIND(".",Table3[[#This Row],[Stage]],1)-1)</f>
        <v>26</v>
      </c>
      <c r="V643" s="31" t="str">
        <f>VLOOKUP(ABS(Table3[[#This Row],[Type]]),[1]!Table9[#All],2)</f>
        <v>Painting</v>
      </c>
    </row>
    <row r="644" spans="1:22" ht="15.75" x14ac:dyDescent="0.45">
      <c r="A644" s="218">
        <v>44760</v>
      </c>
      <c r="B644" s="223" t="s">
        <v>701</v>
      </c>
      <c r="C644" s="25">
        <v>26.5</v>
      </c>
      <c r="D644" s="27" t="s">
        <v>358</v>
      </c>
      <c r="E644" t="s">
        <v>470</v>
      </c>
      <c r="F644" s="28"/>
      <c r="G644" s="214">
        <v>1</v>
      </c>
      <c r="H644" s="28">
        <v>2600</v>
      </c>
      <c r="I644" s="28"/>
      <c r="J644" s="109">
        <f>(Table3[[#This Row],[QTY]]*Table3[[#This Row],[Supplies Cost]])+Table3[[#This Row],[Tax/Fees]]</f>
        <v>2600</v>
      </c>
      <c r="K644" s="4">
        <v>4200</v>
      </c>
      <c r="L644" s="4" t="s">
        <v>33</v>
      </c>
      <c r="M644" s="1" t="s">
        <v>34</v>
      </c>
      <c r="N644" s="31"/>
      <c r="O644" s="31"/>
      <c r="P644" s="31"/>
      <c r="Q644" s="31"/>
      <c r="R644" s="31">
        <v>26.574999999999999</v>
      </c>
      <c r="S644" s="31"/>
      <c r="T644" s="31" t="s">
        <v>433</v>
      </c>
      <c r="U644" s="31" t="str">
        <f>LEFT(Table3[[#This Row],[Stage]],FIND(".",Table3[[#This Row],[Stage]],1)-1)</f>
        <v>26</v>
      </c>
      <c r="V644" s="31" t="str">
        <f>VLOOKUP(ABS(Table3[[#This Row],[Type]]),[1]!Table9[#All],2)</f>
        <v>Painting</v>
      </c>
    </row>
    <row r="645" spans="1:22" x14ac:dyDescent="0.45">
      <c r="A645" s="218">
        <v>44760</v>
      </c>
      <c r="B645" t="s">
        <v>104</v>
      </c>
      <c r="C645" s="34">
        <v>8.0399999999999991</v>
      </c>
      <c r="D645" s="34" t="s">
        <v>489</v>
      </c>
      <c r="E645" t="s">
        <v>104</v>
      </c>
      <c r="F645" s="28"/>
      <c r="G645" s="214">
        <v>1</v>
      </c>
      <c r="H645" s="28">
        <v>30.94</v>
      </c>
      <c r="I645" s="28"/>
      <c r="J645" s="109">
        <f>(Table3[[#This Row],[QTY]]*Table3[[#This Row],[Supplies Cost]])+Table3[[#This Row],[Tax/Fees]]</f>
        <v>30.94</v>
      </c>
      <c r="L645" s="4" t="s">
        <v>33</v>
      </c>
      <c r="M645" s="1" t="s">
        <v>77</v>
      </c>
      <c r="N645" s="31"/>
      <c r="O645" s="31"/>
      <c r="P645" s="31"/>
      <c r="Q645" s="31"/>
      <c r="R645" s="31">
        <v>8.048</v>
      </c>
      <c r="S645" s="31"/>
      <c r="T645" s="31" t="s">
        <v>60</v>
      </c>
      <c r="U645" s="31" t="str">
        <f>LEFT(Table3[[#This Row],[Stage]],FIND(".",Table3[[#This Row],[Stage]],1)-1)</f>
        <v>8</v>
      </c>
      <c r="V645" s="31" t="str">
        <f>VLOOKUP(ABS(Table3[[#This Row],[Type]]),[1]!Table9[#All],2)</f>
        <v>Administrative</v>
      </c>
    </row>
    <row r="646" spans="1:22" x14ac:dyDescent="0.45">
      <c r="A646" s="218">
        <v>44762</v>
      </c>
      <c r="B646" t="s">
        <v>589</v>
      </c>
      <c r="C646" s="34">
        <v>25.1</v>
      </c>
      <c r="D646" s="34" t="s">
        <v>358</v>
      </c>
      <c r="E646" t="s">
        <v>590</v>
      </c>
      <c r="F646" s="28"/>
      <c r="G646" s="214">
        <v>1</v>
      </c>
      <c r="H646" s="28">
        <v>222.18</v>
      </c>
      <c r="I646" s="28">
        <f>$I$5*(Table3[[#This Row],[Supplies Cost]]*Table3[[#This Row],[QTY]])</f>
        <v>38.881499999999996</v>
      </c>
      <c r="J646" s="109">
        <f>(Table3[[#This Row],[QTY]]*Table3[[#This Row],[Supplies Cost]])+Table3[[#This Row],[Tax/Fees]]</f>
        <v>261.06150000000002</v>
      </c>
      <c r="L646" s="4" t="s">
        <v>92</v>
      </c>
      <c r="M646" s="1" t="s">
        <v>47</v>
      </c>
      <c r="N646" s="31"/>
      <c r="O646" s="31" t="s">
        <v>702</v>
      </c>
      <c r="P646" s="31"/>
      <c r="Q646" s="31"/>
      <c r="R646" s="31"/>
      <c r="S646" s="31"/>
      <c r="T646" s="31" t="s">
        <v>568</v>
      </c>
      <c r="U646" s="31" t="str">
        <f>LEFT(Table3[[#This Row],[Stage]],FIND(".",Table3[[#This Row],[Stage]],1)-1)</f>
        <v>25</v>
      </c>
      <c r="V646" s="31" t="str">
        <f>VLOOKUP(ABS(Table3[[#This Row],[Type]]),[1]!Table9[#All],2)</f>
        <v>Tiling</v>
      </c>
    </row>
    <row r="647" spans="1:22" x14ac:dyDescent="0.45">
      <c r="A647" s="218">
        <v>44762</v>
      </c>
      <c r="B647" t="s">
        <v>703</v>
      </c>
      <c r="C647" s="34">
        <v>7.7</v>
      </c>
      <c r="D647" s="27" t="s">
        <v>358</v>
      </c>
      <c r="E647" t="s">
        <v>590</v>
      </c>
      <c r="F647" s="28"/>
      <c r="G647" s="214">
        <v>2</v>
      </c>
      <c r="H647" s="28">
        <v>761.7</v>
      </c>
      <c r="I647" s="28">
        <f>$I$5*(Table3[[#This Row],[Supplies Cost]]*Table3[[#This Row],[QTY]])</f>
        <v>266.59500000000003</v>
      </c>
      <c r="J647" s="109">
        <f>(Table3[[#This Row],[QTY]]*Table3[[#This Row],[Supplies Cost]])+Table3[[#This Row],[Tax/Fees]]</f>
        <v>1789.9950000000001</v>
      </c>
      <c r="L647" s="4" t="s">
        <v>92</v>
      </c>
      <c r="M647" s="1" t="s">
        <v>47</v>
      </c>
      <c r="N647" s="31"/>
      <c r="O647" s="31" t="s">
        <v>702</v>
      </c>
      <c r="P647" s="31"/>
      <c r="Q647" s="31"/>
      <c r="R647" s="31"/>
      <c r="S647" s="31"/>
      <c r="T647" s="31" t="s">
        <v>658</v>
      </c>
      <c r="U647" s="31" t="str">
        <f>LEFT(Table3[[#This Row],[Stage]],FIND(".",Table3[[#This Row],[Stage]],1)-1)</f>
        <v>7</v>
      </c>
      <c r="V647" s="31" t="str">
        <f>VLOOKUP(ABS(Table3[[#This Row],[Type]]),[1]!Table9[#All],2)</f>
        <v>Carpentry</v>
      </c>
    </row>
    <row r="648" spans="1:22" x14ac:dyDescent="0.45">
      <c r="A648" s="218">
        <v>44762</v>
      </c>
      <c r="B648" t="s">
        <v>617</v>
      </c>
      <c r="C648" s="34">
        <v>7.7</v>
      </c>
      <c r="D648" s="27" t="s">
        <v>358</v>
      </c>
      <c r="E648" t="s">
        <v>590</v>
      </c>
      <c r="F648" s="28"/>
      <c r="G648" s="214">
        <v>1</v>
      </c>
      <c r="H648" s="28">
        <v>76.599999999999994</v>
      </c>
      <c r="I648" s="28">
        <f>$I$5*(Table3[[#This Row],[Supplies Cost]]*Table3[[#This Row],[QTY]])</f>
        <v>13.404999999999998</v>
      </c>
      <c r="J648" s="109">
        <f>(Table3[[#This Row],[QTY]]*Table3[[#This Row],[Supplies Cost]])+Table3[[#This Row],[Tax/Fees]]</f>
        <v>90.004999999999995</v>
      </c>
      <c r="K648" s="203">
        <v>2141.06</v>
      </c>
      <c r="L648" s="4" t="s">
        <v>33</v>
      </c>
      <c r="M648" s="1" t="s">
        <v>47</v>
      </c>
      <c r="N648" s="31"/>
      <c r="O648" s="31" t="s">
        <v>702</v>
      </c>
      <c r="P648" s="31"/>
      <c r="Q648" s="31"/>
      <c r="R648" s="31">
        <v>7.72</v>
      </c>
      <c r="S648" s="31"/>
      <c r="T648" s="31" t="s">
        <v>658</v>
      </c>
      <c r="U648" s="31" t="str">
        <f>LEFT(Table3[[#This Row],[Stage]],FIND(".",Table3[[#This Row],[Stage]],1)-1)</f>
        <v>7</v>
      </c>
      <c r="V648" s="31" t="str">
        <f>VLOOKUP(ABS(Table3[[#This Row],[Type]]),[1]!Table9[#All],2)</f>
        <v>Carpentry</v>
      </c>
    </row>
    <row r="649" spans="1:22" x14ac:dyDescent="0.45">
      <c r="A649" s="218">
        <v>44762</v>
      </c>
      <c r="B649" t="s">
        <v>704</v>
      </c>
      <c r="C649" s="27">
        <v>13.38</v>
      </c>
      <c r="D649" s="27" t="s">
        <v>670</v>
      </c>
      <c r="E649" t="s">
        <v>705</v>
      </c>
      <c r="F649" s="28"/>
      <c r="G649" s="214">
        <v>1</v>
      </c>
      <c r="H649" s="28">
        <v>182.86</v>
      </c>
      <c r="I649" s="28">
        <v>0</v>
      </c>
      <c r="J649" s="109">
        <f>(Table3[[#This Row],[QTY]]*Table3[[#This Row],[Supplies Cost]])+Table3[[#This Row],[Tax/Fees]]</f>
        <v>182.86</v>
      </c>
      <c r="L649" s="4" t="s">
        <v>33</v>
      </c>
      <c r="M649" s="1" t="s">
        <v>47</v>
      </c>
      <c r="N649" s="31"/>
      <c r="O649" s="31"/>
      <c r="P649" s="31"/>
      <c r="Q649" s="31"/>
      <c r="R649" s="31">
        <v>13.381</v>
      </c>
      <c r="S649" s="31"/>
      <c r="T649" s="31" t="s">
        <v>53</v>
      </c>
      <c r="U649" s="31" t="str">
        <f>LEFT(Table3[[#This Row],[Stage]],FIND(".",Table3[[#This Row],[Stage]],1)-1)</f>
        <v>13</v>
      </c>
      <c r="V649" s="31" t="str">
        <f>VLOOKUP(ABS(Table3[[#This Row],[Type]]),[1]!Table9[#All],2)</f>
        <v>Electrical</v>
      </c>
    </row>
    <row r="650" spans="1:22" ht="30.75" x14ac:dyDescent="0.45">
      <c r="A650" s="218">
        <v>44763</v>
      </c>
      <c r="B650" t="s">
        <v>706</v>
      </c>
      <c r="C650" s="34">
        <v>3.8</v>
      </c>
      <c r="D650" s="27" t="s">
        <v>358</v>
      </c>
      <c r="E650" t="s">
        <v>71</v>
      </c>
      <c r="F650" s="28"/>
      <c r="G650" s="214">
        <v>1</v>
      </c>
      <c r="H650" s="28">
        <v>168.54</v>
      </c>
      <c r="I650" s="28"/>
      <c r="J650" s="109">
        <f>(Table3[[#This Row],[QTY]]*Table3[[#This Row],[Supplies Cost]])+Table3[[#This Row],[Tax/Fees]]</f>
        <v>168.54</v>
      </c>
      <c r="L650" s="4" t="s">
        <v>33</v>
      </c>
      <c r="M650" s="1" t="s">
        <v>47</v>
      </c>
      <c r="N650" s="31"/>
      <c r="O650" s="31"/>
      <c r="P650" s="31"/>
      <c r="Q650" s="31"/>
      <c r="R650" s="31">
        <v>3.8250000000000002</v>
      </c>
      <c r="S650" s="31"/>
      <c r="T650" s="31" t="s">
        <v>649</v>
      </c>
      <c r="U650" s="31" t="str">
        <f>LEFT(Table3[[#This Row],[Stage]],FIND(".",Table3[[#This Row],[Stage]],1)-1)</f>
        <v>3</v>
      </c>
      <c r="V650" s="31" t="str">
        <f>VLOOKUP(ABS(Table3[[#This Row],[Type]]),[1]!Table9[#All],2)</f>
        <v>Masonary</v>
      </c>
    </row>
    <row r="651" spans="1:22" x14ac:dyDescent="0.45">
      <c r="A651" s="218">
        <v>44764</v>
      </c>
      <c r="B651" t="s">
        <v>707</v>
      </c>
      <c r="C651" s="34">
        <v>7.7</v>
      </c>
      <c r="D651" s="27" t="s">
        <v>670</v>
      </c>
      <c r="E651" t="s">
        <v>71</v>
      </c>
      <c r="F651" s="28"/>
      <c r="G651" s="214">
        <v>1</v>
      </c>
      <c r="H651" s="28">
        <v>188.48</v>
      </c>
      <c r="I651" s="28">
        <f>$I$5*(Table3[[#This Row],[Supplies Cost]]*Table3[[#This Row],[QTY]])</f>
        <v>32.983999999999995</v>
      </c>
      <c r="J651" s="109">
        <f>(Table3[[#This Row],[QTY]]*Table3[[#This Row],[Supplies Cost]])+Table3[[#This Row],[Tax/Fees]]</f>
        <v>221.464</v>
      </c>
      <c r="L651" s="4" t="s">
        <v>33</v>
      </c>
      <c r="M651" s="1" t="s">
        <v>47</v>
      </c>
      <c r="N651" s="31"/>
      <c r="O651" s="31"/>
      <c r="P651" s="31"/>
      <c r="Q651" s="31"/>
      <c r="R651" s="31">
        <v>7.7149999999999999</v>
      </c>
      <c r="S651" s="31"/>
      <c r="T651" s="31" t="s">
        <v>698</v>
      </c>
      <c r="U651" s="31" t="str">
        <f>LEFT(Table3[[#This Row],[Stage]],FIND(".",Table3[[#This Row],[Stage]],1)-1)</f>
        <v>7</v>
      </c>
      <c r="V651" s="31" t="str">
        <f>VLOOKUP(ABS(Table3[[#This Row],[Type]]),[1]!Table9[#All],2)</f>
        <v>Carpentry</v>
      </c>
    </row>
    <row r="652" spans="1:22" x14ac:dyDescent="0.45">
      <c r="A652" s="218">
        <v>44764</v>
      </c>
      <c r="B652" t="s">
        <v>707</v>
      </c>
      <c r="C652" s="34">
        <v>7.7</v>
      </c>
      <c r="D652" s="27" t="s">
        <v>670</v>
      </c>
      <c r="E652" t="s">
        <v>71</v>
      </c>
      <c r="F652" s="28"/>
      <c r="G652" s="214">
        <v>1</v>
      </c>
      <c r="H652" s="28">
        <v>42.56</v>
      </c>
      <c r="I652" s="28">
        <f>$I$5*(Table3[[#This Row],[Supplies Cost]]*Table3[[#This Row],[QTY]])</f>
        <v>7.4479999999999995</v>
      </c>
      <c r="J652" s="109">
        <f>(Table3[[#This Row],[QTY]]*Table3[[#This Row],[Supplies Cost]])+Table3[[#This Row],[Tax/Fees]]</f>
        <v>50.008000000000003</v>
      </c>
      <c r="L652" s="4" t="s">
        <v>33</v>
      </c>
      <c r="M652" s="1" t="s">
        <v>47</v>
      </c>
      <c r="N652" s="31"/>
      <c r="O652" s="31"/>
      <c r="P652" s="31"/>
      <c r="Q652" s="31"/>
      <c r="R652" s="31">
        <v>7.72</v>
      </c>
      <c r="S652" s="31"/>
      <c r="T652" s="31" t="s">
        <v>698</v>
      </c>
      <c r="U652" s="31" t="str">
        <f>LEFT(Table3[[#This Row],[Stage]],FIND(".",Table3[[#This Row],[Stage]],1)-1)</f>
        <v>7</v>
      </c>
      <c r="V652" s="31" t="str">
        <f>VLOOKUP(ABS(Table3[[#This Row],[Type]]),[1]!Table9[#All],2)</f>
        <v>Carpentry</v>
      </c>
    </row>
    <row r="653" spans="1:22" x14ac:dyDescent="0.45">
      <c r="A653" s="218">
        <v>44764</v>
      </c>
      <c r="B653" t="s">
        <v>708</v>
      </c>
      <c r="C653" s="34">
        <v>26.52</v>
      </c>
      <c r="D653" s="27" t="s">
        <v>670</v>
      </c>
      <c r="E653" t="s">
        <v>440</v>
      </c>
      <c r="F653" s="28"/>
      <c r="G653" s="214">
        <v>1</v>
      </c>
      <c r="H653" s="28">
        <v>3122.64</v>
      </c>
      <c r="I653" s="28"/>
      <c r="J653" s="109">
        <f>(Table3[[#This Row],[QTY]]*Table3[[#This Row],[Supplies Cost]])+Table3[[#This Row],[Tax/Fees]]</f>
        <v>3122.64</v>
      </c>
      <c r="L653" s="4" t="s">
        <v>33</v>
      </c>
      <c r="M653" s="1" t="s">
        <v>47</v>
      </c>
      <c r="N653" s="31"/>
      <c r="O653" s="31"/>
      <c r="P653" s="31"/>
      <c r="Q653" s="31"/>
      <c r="R653" s="31">
        <v>26.523</v>
      </c>
      <c r="S653" s="31"/>
      <c r="T653" s="31" t="s">
        <v>433</v>
      </c>
      <c r="U653" s="31" t="str">
        <f>LEFT(Table3[[#This Row],[Stage]],FIND(".",Table3[[#This Row],[Stage]],1)-1)</f>
        <v>26</v>
      </c>
      <c r="V653" s="31" t="str">
        <f>VLOOKUP(ABS(Table3[[#This Row],[Type]]),[1]!Table9[#All],2)</f>
        <v>Painting</v>
      </c>
    </row>
    <row r="654" spans="1:22" x14ac:dyDescent="0.45">
      <c r="A654" s="218">
        <v>44765</v>
      </c>
      <c r="B654" t="s">
        <v>709</v>
      </c>
      <c r="C654" s="34">
        <v>25.1</v>
      </c>
      <c r="D654" s="27" t="s">
        <v>358</v>
      </c>
      <c r="E654" t="s">
        <v>590</v>
      </c>
      <c r="F654" s="28"/>
      <c r="G654" s="214">
        <v>1</v>
      </c>
      <c r="H654" s="28">
        <v>-31.74</v>
      </c>
      <c r="I654" s="28">
        <f>$I$5*(Table3[[#This Row],[Supplies Cost]]*Table3[[#This Row],[QTY]])</f>
        <v>-5.5544999999999991</v>
      </c>
      <c r="J654" s="109">
        <f>(Table3[[#This Row],[QTY]]*Table3[[#This Row],[Supplies Cost]])+Table3[[#This Row],[Tax/Fees]]</f>
        <v>-37.294499999999999</v>
      </c>
      <c r="L654" s="4" t="s">
        <v>92</v>
      </c>
      <c r="M654" s="1" t="s">
        <v>47</v>
      </c>
      <c r="N654" s="31"/>
      <c r="O654" s="31" t="s">
        <v>710</v>
      </c>
      <c r="P654" s="31"/>
      <c r="Q654" s="31"/>
      <c r="R654" s="31"/>
      <c r="S654" s="31"/>
      <c r="T654" s="31" t="s">
        <v>568</v>
      </c>
      <c r="U654" s="31" t="str">
        <f>LEFT(Table3[[#This Row],[Stage]],FIND(".",Table3[[#This Row],[Stage]],1)-1)</f>
        <v>25</v>
      </c>
      <c r="V654" s="31" t="str">
        <f>VLOOKUP(ABS(Table3[[#This Row],[Type]]),[1]!Table9[#All],2)</f>
        <v>Tiling</v>
      </c>
    </row>
    <row r="655" spans="1:22" x14ac:dyDescent="0.45">
      <c r="A655" s="218">
        <v>44765</v>
      </c>
      <c r="B655" t="s">
        <v>711</v>
      </c>
      <c r="C655" s="34">
        <v>7.7</v>
      </c>
      <c r="D655" s="27" t="s">
        <v>358</v>
      </c>
      <c r="E655" t="s">
        <v>590</v>
      </c>
      <c r="F655" s="28"/>
      <c r="G655" s="214">
        <v>1</v>
      </c>
      <c r="H655" s="28">
        <v>-1523.4</v>
      </c>
      <c r="I655" s="28">
        <f>$I$5*(Table3[[#This Row],[Supplies Cost]]*Table3[[#This Row],[QTY]])</f>
        <v>-266.59500000000003</v>
      </c>
      <c r="J655" s="109">
        <f>(Table3[[#This Row],[QTY]]*Table3[[#This Row],[Supplies Cost]])+Table3[[#This Row],[Tax/Fees]]</f>
        <v>-1789.9950000000001</v>
      </c>
      <c r="L655" s="4" t="s">
        <v>92</v>
      </c>
      <c r="M655" s="1" t="s">
        <v>47</v>
      </c>
      <c r="N655" s="31"/>
      <c r="O655" s="31" t="s">
        <v>710</v>
      </c>
      <c r="P655" s="31"/>
      <c r="Q655" s="31"/>
      <c r="R655" s="31"/>
      <c r="S655" s="31"/>
      <c r="T655" s="31" t="s">
        <v>658</v>
      </c>
      <c r="U655" s="31" t="str">
        <f>LEFT(Table3[[#This Row],[Stage]],FIND(".",Table3[[#This Row],[Stage]],1)-1)</f>
        <v>7</v>
      </c>
      <c r="V655" s="31" t="str">
        <f>VLOOKUP(ABS(Table3[[#This Row],[Type]]),[1]!Table9[#All],2)</f>
        <v>Carpentry</v>
      </c>
    </row>
    <row r="656" spans="1:22" x14ac:dyDescent="0.45">
      <c r="A656" s="218">
        <v>44765</v>
      </c>
      <c r="B656" t="s">
        <v>712</v>
      </c>
      <c r="C656" s="34">
        <v>7.7</v>
      </c>
      <c r="D656" s="27" t="s">
        <v>358</v>
      </c>
      <c r="E656" t="s">
        <v>590</v>
      </c>
      <c r="F656" s="28"/>
      <c r="G656" s="214">
        <v>2</v>
      </c>
      <c r="H656" s="28">
        <v>1953.19</v>
      </c>
      <c r="I656" s="28">
        <f>$I$5*(Table3[[#This Row],[Supplies Cost]]*Table3[[#This Row],[QTY]])</f>
        <v>683.61649999999997</v>
      </c>
      <c r="J656" s="109">
        <f>(Table3[[#This Row],[QTY]]*Table3[[#This Row],[Supplies Cost]])+Table3[[#This Row],[Tax/Fees]]</f>
        <v>4589.9965000000002</v>
      </c>
      <c r="L656" s="4" t="s">
        <v>92</v>
      </c>
      <c r="M656" s="1" t="s">
        <v>47</v>
      </c>
      <c r="N656" s="31"/>
      <c r="O656" s="31" t="s">
        <v>710</v>
      </c>
      <c r="P656" s="31"/>
      <c r="Q656" s="31"/>
      <c r="R656" s="31"/>
      <c r="S656" s="31"/>
      <c r="T656" s="31" t="s">
        <v>658</v>
      </c>
      <c r="U656" s="31" t="str">
        <f>LEFT(Table3[[#This Row],[Stage]],FIND(".",Table3[[#This Row],[Stage]],1)-1)</f>
        <v>7</v>
      </c>
      <c r="V656" s="31" t="str">
        <f>VLOOKUP(ABS(Table3[[#This Row],[Type]]),[1]!Table9[#All],2)</f>
        <v>Carpentry</v>
      </c>
    </row>
    <row r="657" spans="1:22" x14ac:dyDescent="0.45">
      <c r="A657" s="218">
        <v>44765</v>
      </c>
      <c r="B657" t="s">
        <v>713</v>
      </c>
      <c r="C657" s="34">
        <v>7.7</v>
      </c>
      <c r="D657" s="27" t="s">
        <v>358</v>
      </c>
      <c r="E657" t="s">
        <v>590</v>
      </c>
      <c r="F657" s="28"/>
      <c r="G657" s="214">
        <v>2</v>
      </c>
      <c r="H657" s="28">
        <v>76.599999999999994</v>
      </c>
      <c r="I657" s="28">
        <v>26.8</v>
      </c>
      <c r="J657" s="109">
        <f>(Table3[[#This Row],[QTY]]*Table3[[#This Row],[Supplies Cost]])+Table3[[#This Row],[Tax/Fees]]</f>
        <v>180</v>
      </c>
      <c r="K657" s="203">
        <v>2942.71</v>
      </c>
      <c r="L657" s="4" t="s">
        <v>33</v>
      </c>
      <c r="M657" s="1" t="s">
        <v>47</v>
      </c>
      <c r="N657" s="31"/>
      <c r="O657" s="31" t="s">
        <v>710</v>
      </c>
      <c r="P657" s="31"/>
      <c r="Q657" s="31"/>
      <c r="R657" s="31">
        <v>7.7249999999999996</v>
      </c>
      <c r="S657" s="31"/>
      <c r="T657" s="31" t="s">
        <v>60</v>
      </c>
      <c r="U657" s="31" t="str">
        <f>LEFT(Table3[[#This Row],[Stage]],FIND(".",Table3[[#This Row],[Stage]],1)-1)</f>
        <v>7</v>
      </c>
      <c r="V657" s="31" t="str">
        <f>VLOOKUP(ABS(Table3[[#This Row],[Type]]),[1]!Table9[#All],2)</f>
        <v>Carpentry</v>
      </c>
    </row>
    <row r="658" spans="1:22" x14ac:dyDescent="0.45">
      <c r="A658" s="218">
        <v>44768</v>
      </c>
      <c r="B658" t="s">
        <v>660</v>
      </c>
      <c r="C658" s="57">
        <v>3.1</v>
      </c>
      <c r="D658" s="90" t="s">
        <v>489</v>
      </c>
      <c r="E658" t="s">
        <v>239</v>
      </c>
      <c r="F658" s="28"/>
      <c r="G658" s="214">
        <v>1</v>
      </c>
      <c r="H658" s="28">
        <v>700</v>
      </c>
      <c r="I658" s="28"/>
      <c r="J658" s="109">
        <f>(Table3[[#This Row],[QTY]]*Table3[[#This Row],[Supplies Cost]])+Table3[[#This Row],[Tax/Fees]]</f>
        <v>700</v>
      </c>
      <c r="L658" s="4" t="s">
        <v>33</v>
      </c>
      <c r="M658" s="1" t="s">
        <v>77</v>
      </c>
      <c r="N658" s="31"/>
      <c r="O658" s="31"/>
      <c r="P658" s="31"/>
      <c r="Q658" s="31"/>
      <c r="R658" s="31">
        <v>3.11</v>
      </c>
      <c r="S658" s="31"/>
      <c r="T658" s="31" t="s">
        <v>160</v>
      </c>
      <c r="U658" s="31" t="str">
        <f>LEFT(Table3[[#This Row],[Stage]],FIND(".",Table3[[#This Row],[Stage]],1)-1)</f>
        <v>3</v>
      </c>
      <c r="V658" s="31" t="str">
        <f>VLOOKUP(ABS(Table3[[#This Row],[Type]]),[1]!Table9[#All],2)</f>
        <v>Masonary</v>
      </c>
    </row>
    <row r="659" spans="1:22" x14ac:dyDescent="0.45">
      <c r="A659" s="218">
        <v>44769</v>
      </c>
      <c r="B659" t="s">
        <v>714</v>
      </c>
      <c r="C659" s="57">
        <v>7.7</v>
      </c>
      <c r="D659" s="27" t="s">
        <v>358</v>
      </c>
      <c r="E659" t="s">
        <v>71</v>
      </c>
      <c r="F659" s="28"/>
      <c r="G659" s="214">
        <v>1</v>
      </c>
      <c r="H659" s="28">
        <v>1631.82</v>
      </c>
      <c r="I659" s="28"/>
      <c r="J659" s="109">
        <f>(Table3[[#This Row],[QTY]]*Table3[[#This Row],[Supplies Cost]])+Table3[[#This Row],[Tax/Fees]]</f>
        <v>1631.82</v>
      </c>
      <c r="L659" s="4" t="s">
        <v>33</v>
      </c>
      <c r="M659" s="1" t="s">
        <v>47</v>
      </c>
      <c r="N659" s="31"/>
      <c r="O659" s="31"/>
      <c r="P659" s="31"/>
      <c r="Q659" s="31"/>
      <c r="R659" s="31">
        <v>7.7350000000000003</v>
      </c>
      <c r="S659" s="31"/>
      <c r="T659" s="31" t="s">
        <v>433</v>
      </c>
      <c r="U659" s="31" t="str">
        <f>LEFT(Table3[[#This Row],[Stage]],FIND(".",Table3[[#This Row],[Stage]],1)-1)</f>
        <v>7</v>
      </c>
      <c r="V659" s="31" t="str">
        <f>VLOOKUP(ABS(Table3[[#This Row],[Type]]),[1]!Table9[#All],2)</f>
        <v>Carpentry</v>
      </c>
    </row>
    <row r="660" spans="1:22" x14ac:dyDescent="0.45">
      <c r="A660" s="218">
        <v>44770</v>
      </c>
      <c r="B660" t="s">
        <v>715</v>
      </c>
      <c r="C660" s="34">
        <v>25.1</v>
      </c>
      <c r="D660" s="27" t="s">
        <v>358</v>
      </c>
      <c r="E660" t="s">
        <v>69</v>
      </c>
      <c r="F660" s="28"/>
      <c r="G660" s="214">
        <v>1</v>
      </c>
      <c r="H660" s="28">
        <v>1701</v>
      </c>
      <c r="I660" s="28"/>
      <c r="J660" s="109">
        <f>(Table3[[#This Row],[QTY]]*Table3[[#This Row],[Supplies Cost]])+Table3[[#This Row],[Tax/Fees]]</f>
        <v>1701</v>
      </c>
      <c r="L660" s="4" t="s">
        <v>92</v>
      </c>
      <c r="M660" s="1" t="s">
        <v>34</v>
      </c>
      <c r="N660" s="31"/>
      <c r="O660" s="31" t="s">
        <v>716</v>
      </c>
      <c r="P660" s="31"/>
      <c r="Q660" s="31"/>
      <c r="R660" s="31"/>
      <c r="S660" s="31"/>
      <c r="T660" s="31" t="s">
        <v>568</v>
      </c>
      <c r="U660" s="31" t="str">
        <f>LEFT(Table3[[#This Row],[Stage]],FIND(".",Table3[[#This Row],[Stage]],1)-1)</f>
        <v>25</v>
      </c>
      <c r="V660" s="31" t="str">
        <f>VLOOKUP(ABS(Table3[[#This Row],[Type]]),[1]!Table9[#All],2)</f>
        <v>Tiling</v>
      </c>
    </row>
    <row r="661" spans="1:22" ht="30.75" x14ac:dyDescent="0.45">
      <c r="A661" s="218">
        <v>44770</v>
      </c>
      <c r="B661" t="s">
        <v>717</v>
      </c>
      <c r="C661" s="141">
        <v>8.0399999999999991</v>
      </c>
      <c r="D661" s="142" t="s">
        <v>358</v>
      </c>
      <c r="E661" t="s">
        <v>69</v>
      </c>
      <c r="F661" s="28"/>
      <c r="G661" s="214">
        <v>1</v>
      </c>
      <c r="H661" s="28">
        <f>2040-1320</f>
        <v>720</v>
      </c>
      <c r="I661" s="28"/>
      <c r="J661" s="109">
        <f>(Table3[[#This Row],[QTY]]*Table3[[#This Row],[Supplies Cost]])+Table3[[#This Row],[Tax/Fees]]</f>
        <v>720</v>
      </c>
      <c r="L661" s="4" t="s">
        <v>92</v>
      </c>
      <c r="M661" s="1" t="s">
        <v>34</v>
      </c>
      <c r="N661" s="31"/>
      <c r="O661" s="31" t="s">
        <v>716</v>
      </c>
      <c r="P661" s="31"/>
      <c r="Q661" s="31"/>
      <c r="R661" s="31"/>
      <c r="S661" s="31"/>
      <c r="T661" s="31" t="s">
        <v>261</v>
      </c>
      <c r="U661" s="31" t="str">
        <f>LEFT(Table3[[#This Row],[Stage]],FIND(".",Table3[[#This Row],[Stage]],1)-1)</f>
        <v>8</v>
      </c>
      <c r="V661" s="31" t="str">
        <f>VLOOKUP(ABS(Table3[[#This Row],[Type]]),[1]!Table9[#All],2)</f>
        <v>Administrative</v>
      </c>
    </row>
    <row r="662" spans="1:22" x14ac:dyDescent="0.45">
      <c r="A662" s="218">
        <v>44770</v>
      </c>
      <c r="B662" t="s">
        <v>718</v>
      </c>
      <c r="C662" s="141">
        <v>8.0399999999999991</v>
      </c>
      <c r="D662" s="142" t="s">
        <v>358</v>
      </c>
      <c r="E662" t="s">
        <v>69</v>
      </c>
      <c r="F662" s="28"/>
      <c r="G662" s="214">
        <v>1</v>
      </c>
      <c r="H662" s="28">
        <v>4790</v>
      </c>
      <c r="I662" s="28"/>
      <c r="J662" s="109">
        <f>(Table3[[#This Row],[QTY]]*Table3[[#This Row],[Supplies Cost]])+Table3[[#This Row],[Tax/Fees]]</f>
        <v>4790</v>
      </c>
      <c r="L662" s="4" t="s">
        <v>92</v>
      </c>
      <c r="M662" s="1" t="s">
        <v>34</v>
      </c>
      <c r="N662" s="31"/>
      <c r="O662" s="31" t="s">
        <v>716</v>
      </c>
      <c r="P662" s="31"/>
      <c r="Q662" s="31"/>
      <c r="R662" s="31"/>
      <c r="S662" s="31"/>
      <c r="T662" s="31" t="s">
        <v>719</v>
      </c>
      <c r="U662" s="31" t="str">
        <f>LEFT(Table3[[#This Row],[Stage]],FIND(".",Table3[[#This Row],[Stage]],1)-1)</f>
        <v>8</v>
      </c>
      <c r="V662" s="31" t="str">
        <f>VLOOKUP(ABS(Table3[[#This Row],[Type]]),[1]!Table9[#All],2)</f>
        <v>Administrative</v>
      </c>
    </row>
    <row r="663" spans="1:22" x14ac:dyDescent="0.45">
      <c r="A663" s="218">
        <v>44770</v>
      </c>
      <c r="B663" t="s">
        <v>720</v>
      </c>
      <c r="C663" s="141">
        <v>8.0399999999999991</v>
      </c>
      <c r="D663" s="142" t="s">
        <v>489</v>
      </c>
      <c r="E663" t="s">
        <v>46</v>
      </c>
      <c r="F663" s="28"/>
      <c r="G663" s="214">
        <v>1</v>
      </c>
      <c r="H663" s="28">
        <v>79.13</v>
      </c>
      <c r="I663" s="28"/>
      <c r="J663" s="109">
        <f>(Table3[[#This Row],[QTY]]*Table3[[#This Row],[Supplies Cost]])+Table3[[#This Row],[Tax/Fees]]</f>
        <v>79.13</v>
      </c>
      <c r="L663" s="4" t="s">
        <v>33</v>
      </c>
      <c r="M663" s="1" t="s">
        <v>47</v>
      </c>
      <c r="N663" s="31"/>
      <c r="O663" s="31"/>
      <c r="P663" s="31"/>
      <c r="Q663" s="31"/>
      <c r="R663" s="31">
        <v>8.0444999999999993</v>
      </c>
      <c r="S663" s="31"/>
      <c r="T663" s="31" t="s">
        <v>60</v>
      </c>
      <c r="U663" s="31" t="str">
        <f>LEFT(Table3[[#This Row],[Stage]],FIND(".",Table3[[#This Row],[Stage]],1)-1)</f>
        <v>8</v>
      </c>
      <c r="V663" s="31" t="str">
        <f>VLOOKUP(ABS(Table3[[#This Row],[Type]]),[1]!Table9[#All],2)</f>
        <v>Administrative</v>
      </c>
    </row>
    <row r="664" spans="1:22" x14ac:dyDescent="0.45">
      <c r="A664" s="218">
        <v>44770</v>
      </c>
      <c r="B664" t="s">
        <v>721</v>
      </c>
      <c r="C664" s="34">
        <v>7.9</v>
      </c>
      <c r="D664" s="31" t="s">
        <v>399</v>
      </c>
      <c r="E664" t="s">
        <v>116</v>
      </c>
      <c r="F664" s="28"/>
      <c r="G664" s="214">
        <v>1</v>
      </c>
      <c r="H664" s="28">
        <v>-54.05</v>
      </c>
      <c r="I664" s="28"/>
      <c r="J664" s="109">
        <f>(Table3[[#This Row],[QTY]]*Table3[[#This Row],[Supplies Cost]])+Table3[[#This Row],[Tax/Fees]]</f>
        <v>-54.05</v>
      </c>
      <c r="L664" s="4" t="s">
        <v>33</v>
      </c>
      <c r="M664" s="1" t="s">
        <v>47</v>
      </c>
      <c r="N664" s="31"/>
      <c r="O664" s="31"/>
      <c r="P664" s="31"/>
      <c r="Q664" s="31"/>
      <c r="R664" s="31">
        <v>7.94</v>
      </c>
      <c r="S664" s="31"/>
      <c r="T664" s="31" t="s">
        <v>269</v>
      </c>
      <c r="U664" s="31" t="str">
        <f>LEFT(Table3[[#This Row],[Stage]],FIND(".",Table3[[#This Row],[Stage]],1)-1)</f>
        <v>7</v>
      </c>
      <c r="V664" s="31" t="str">
        <f>VLOOKUP(ABS(Table3[[#This Row],[Type]]),[1]!Table9[#All],2)</f>
        <v>Carpentry</v>
      </c>
    </row>
    <row r="665" spans="1:22" x14ac:dyDescent="0.45">
      <c r="A665" s="218">
        <v>44770</v>
      </c>
      <c r="B665" t="s">
        <v>722</v>
      </c>
      <c r="C665" s="127">
        <v>7.82</v>
      </c>
      <c r="D665" s="31" t="s">
        <v>233</v>
      </c>
      <c r="E665" t="s">
        <v>69</v>
      </c>
      <c r="F665" s="28"/>
      <c r="G665" s="214">
        <v>1</v>
      </c>
      <c r="H665" s="28">
        <f>4600-4140</f>
        <v>460</v>
      </c>
      <c r="I665" s="28"/>
      <c r="J665" s="109">
        <f>(Table3[[#This Row],[QTY]]*Table3[[#This Row],[Supplies Cost]])+Table3[[#This Row],[Tax/Fees]]</f>
        <v>460</v>
      </c>
      <c r="K665" s="203">
        <v>10274</v>
      </c>
      <c r="L665" s="4" t="s">
        <v>33</v>
      </c>
      <c r="M665" s="1" t="s">
        <v>34</v>
      </c>
      <c r="N665" s="31"/>
      <c r="O665" s="31" t="s">
        <v>716</v>
      </c>
      <c r="P665" s="31"/>
      <c r="Q665" s="31"/>
      <c r="R665" s="31">
        <v>7.8239999999999998</v>
      </c>
      <c r="S665" s="31"/>
      <c r="T665" s="31" t="s">
        <v>365</v>
      </c>
      <c r="U665" s="31" t="str">
        <f>LEFT(Table3[[#This Row],[Stage]],FIND(".",Table3[[#This Row],[Stage]],1)-1)</f>
        <v>7</v>
      </c>
      <c r="V665" s="31" t="str">
        <f>VLOOKUP(ABS(Table3[[#This Row],[Type]]),[1]!Table9[#All],2)</f>
        <v>Carpentry</v>
      </c>
    </row>
    <row r="666" spans="1:22" x14ac:dyDescent="0.45">
      <c r="A666" s="218">
        <v>44770</v>
      </c>
      <c r="B666" t="s">
        <v>723</v>
      </c>
      <c r="C666" s="57">
        <v>7.7</v>
      </c>
      <c r="D666" s="27" t="s">
        <v>670</v>
      </c>
      <c r="E666" t="s">
        <v>69</v>
      </c>
      <c r="F666" s="58"/>
      <c r="G666" s="214">
        <v>1</v>
      </c>
      <c r="H666" s="58">
        <f>6966-5418</f>
        <v>1548</v>
      </c>
      <c r="I666" s="58"/>
      <c r="J666" s="109">
        <f>(Table3[[#This Row],[QTY]]*Table3[[#This Row],[Supplies Cost]])+Table3[[#This Row],[Tax/Fees]]</f>
        <v>1548</v>
      </c>
      <c r="L666" s="4" t="s">
        <v>92</v>
      </c>
      <c r="M666" s="1" t="s">
        <v>34</v>
      </c>
      <c r="N666" s="31"/>
      <c r="O666" s="31" t="s">
        <v>716</v>
      </c>
      <c r="P666" s="40"/>
      <c r="Q666" s="40"/>
      <c r="R666" s="40"/>
      <c r="S666" s="40"/>
      <c r="T666" s="40" t="s">
        <v>658</v>
      </c>
      <c r="U666" s="40" t="str">
        <f>LEFT(Table3[[#This Row],[Stage]],FIND(".",Table3[[#This Row],[Stage]],1)-1)</f>
        <v>7</v>
      </c>
      <c r="V666" s="40" t="str">
        <f>VLOOKUP(ABS(Table3[[#This Row],[Type]]),[1]!Table9[#All],2)</f>
        <v>Carpentry</v>
      </c>
    </row>
    <row r="667" spans="1:22" ht="30.75" x14ac:dyDescent="0.45">
      <c r="A667" s="55">
        <v>44770</v>
      </c>
      <c r="B667" t="s">
        <v>692</v>
      </c>
      <c r="C667" s="34">
        <v>7.7</v>
      </c>
      <c r="D667" s="27" t="s">
        <v>670</v>
      </c>
      <c r="E667" t="s">
        <v>69</v>
      </c>
      <c r="F667" s="58"/>
      <c r="G667" s="214">
        <v>1</v>
      </c>
      <c r="H667" s="58">
        <f>8967.5-7912.5</f>
        <v>1055</v>
      </c>
      <c r="I667" s="58"/>
      <c r="J667" s="109">
        <f>(Table3[[#This Row],[QTY]]*Table3[[#This Row],[Supplies Cost]])+Table3[[#This Row],[Tax/Fees]]</f>
        <v>1055</v>
      </c>
      <c r="L667" s="4" t="s">
        <v>92</v>
      </c>
      <c r="M667" s="1" t="s">
        <v>34</v>
      </c>
      <c r="N667" s="31"/>
      <c r="O667" s="31" t="s">
        <v>716</v>
      </c>
      <c r="P667" s="40"/>
      <c r="Q667" s="40"/>
      <c r="R667" s="40"/>
      <c r="S667" s="40"/>
      <c r="T667" s="40" t="s">
        <v>616</v>
      </c>
      <c r="U667" s="40" t="str">
        <f>LEFT(Table3[[#This Row],[Stage]],FIND(".",Table3[[#This Row],[Stage]],1)-1)</f>
        <v>7</v>
      </c>
      <c r="V667" s="40" t="str">
        <f>VLOOKUP(ABS(Table3[[#This Row],[Type]]),[1]!Table9[#All],2)</f>
        <v>Carpentry</v>
      </c>
    </row>
    <row r="668" spans="1:22" ht="30.75" x14ac:dyDescent="0.45">
      <c r="A668" s="55">
        <v>44774</v>
      </c>
      <c r="B668" t="s">
        <v>724</v>
      </c>
      <c r="C668" s="57">
        <v>10.38</v>
      </c>
      <c r="D668" s="152" t="s">
        <v>358</v>
      </c>
      <c r="E668" t="s">
        <v>611</v>
      </c>
      <c r="F668" s="58"/>
      <c r="G668" s="214">
        <v>1</v>
      </c>
      <c r="H668" s="58">
        <v>1362</v>
      </c>
      <c r="I668" s="58"/>
      <c r="J668" s="109">
        <f>(Table3[[#This Row],[QTY]]*Table3[[#This Row],[Supplies Cost]])+Table3[[#This Row],[Tax/Fees]]</f>
        <v>1362</v>
      </c>
      <c r="L668" s="4" t="s">
        <v>33</v>
      </c>
      <c r="M668" s="1" t="s">
        <v>47</v>
      </c>
      <c r="N668" s="40"/>
      <c r="O668" s="40"/>
      <c r="P668" s="40"/>
      <c r="Q668" s="40"/>
      <c r="R668" s="40">
        <v>10.381</v>
      </c>
      <c r="S668" s="40"/>
      <c r="T668" s="40" t="s">
        <v>652</v>
      </c>
      <c r="U668" s="40" t="str">
        <f>LEFT(Table3[[#This Row],[Stage]],FIND(".",Table3[[#This Row],[Stage]],1)-1)</f>
        <v>10</v>
      </c>
      <c r="V668" s="40" t="str">
        <f>VLOOKUP(ABS(Table3[[#This Row],[Type]]),[1]!Table9[#All],2)</f>
        <v>Plumbing</v>
      </c>
    </row>
    <row r="669" spans="1:22" x14ac:dyDescent="0.45">
      <c r="A669" s="198">
        <v>44776</v>
      </c>
      <c r="B669" s="129" t="s">
        <v>725</v>
      </c>
      <c r="C669" s="141">
        <v>7.7</v>
      </c>
      <c r="D669" s="142" t="s">
        <v>489</v>
      </c>
      <c r="E669" s="129" t="s">
        <v>69</v>
      </c>
      <c r="F669" s="145"/>
      <c r="G669" s="193">
        <v>1</v>
      </c>
      <c r="H669" s="145">
        <v>2615</v>
      </c>
      <c r="I669" s="145"/>
      <c r="J669" s="135">
        <v>0</v>
      </c>
      <c r="K669" s="136"/>
      <c r="L669" s="136" t="s">
        <v>33</v>
      </c>
      <c r="M669" s="186" t="s">
        <v>34</v>
      </c>
      <c r="N669" s="138"/>
      <c r="O669" s="138"/>
      <c r="P669" s="138"/>
      <c r="Q669" s="138"/>
      <c r="R669" s="138">
        <v>7.7149999999999999</v>
      </c>
      <c r="S669" s="138"/>
      <c r="T669" s="138" t="s">
        <v>433</v>
      </c>
      <c r="U669" s="138" t="str">
        <f>LEFT(Table3[[#This Row],[Stage]],FIND(".",Table3[[#This Row],[Stage]],1)-1)</f>
        <v>7</v>
      </c>
      <c r="V669" s="138" t="str">
        <f>VLOOKUP(ABS(Table3[[#This Row],[Type]]),[1]!Table9[#All],2)</f>
        <v>Carpentry</v>
      </c>
    </row>
    <row r="670" spans="1:22" x14ac:dyDescent="0.45">
      <c r="A670" s="55">
        <v>44776</v>
      </c>
      <c r="B670" t="s">
        <v>726</v>
      </c>
      <c r="C670" s="34">
        <v>7.7</v>
      </c>
      <c r="D670" s="27" t="s">
        <v>399</v>
      </c>
      <c r="E670" t="s">
        <v>697</v>
      </c>
      <c r="F670" s="28"/>
      <c r="G670" s="214">
        <v>1</v>
      </c>
      <c r="H670" s="28">
        <v>1259</v>
      </c>
      <c r="I670" s="28"/>
      <c r="J670" s="109">
        <f>(Table3[[#This Row],[QTY]]*Table3[[#This Row],[Supplies Cost]])+Table3[[#This Row],[Tax/Fees]]</f>
        <v>1259</v>
      </c>
      <c r="L670" s="4" t="s">
        <v>33</v>
      </c>
      <c r="M670" s="1" t="s">
        <v>34</v>
      </c>
      <c r="N670" s="31"/>
      <c r="O670" s="31"/>
      <c r="P670" s="31"/>
      <c r="Q670" s="31"/>
      <c r="R670" s="31">
        <v>7.71</v>
      </c>
      <c r="S670" s="31"/>
      <c r="T670" s="40" t="s">
        <v>698</v>
      </c>
      <c r="U670" s="31" t="str">
        <f>LEFT(Table3[[#This Row],[Stage]],FIND(".",Table3[[#This Row],[Stage]],1)-1)</f>
        <v>7</v>
      </c>
      <c r="V670" s="31" t="str">
        <f>VLOOKUP(ABS(Table3[[#This Row],[Type]]),[1]!Table9[#All],2)</f>
        <v>Carpentry</v>
      </c>
    </row>
    <row r="671" spans="1:22" x14ac:dyDescent="0.45">
      <c r="A671" s="218">
        <v>44776</v>
      </c>
      <c r="B671" t="s">
        <v>727</v>
      </c>
      <c r="C671" s="34">
        <v>7.7</v>
      </c>
      <c r="D671" s="27" t="s">
        <v>670</v>
      </c>
      <c r="E671" t="s">
        <v>728</v>
      </c>
      <c r="F671" s="28"/>
      <c r="G671" s="214">
        <v>1</v>
      </c>
      <c r="H671" s="28">
        <v>593.25</v>
      </c>
      <c r="I671" s="28"/>
      <c r="J671" s="109">
        <f>(Table3[[#This Row],[QTY]]*Table3[[#This Row],[Supplies Cost]])+Table3[[#This Row],[Tax/Fees]]</f>
        <v>593.25</v>
      </c>
      <c r="L671" s="4" t="s">
        <v>33</v>
      </c>
      <c r="M671" s="1" t="s">
        <v>47</v>
      </c>
      <c r="N671" s="31"/>
      <c r="O671" s="31"/>
      <c r="P671" s="31"/>
      <c r="Q671" s="31"/>
      <c r="R671" s="31">
        <v>7.75</v>
      </c>
      <c r="S671" s="31"/>
      <c r="T671" s="40" t="s">
        <v>433</v>
      </c>
      <c r="U671" s="31" t="str">
        <f>LEFT(Table3[[#This Row],[Stage]],FIND(".",Table3[[#This Row],[Stage]],1)-1)</f>
        <v>7</v>
      </c>
      <c r="V671" s="31" t="str">
        <f>VLOOKUP(ABS(Table3[[#This Row],[Type]]),[1]!Table9[#All],2)</f>
        <v>Carpentry</v>
      </c>
    </row>
    <row r="672" spans="1:22" x14ac:dyDescent="0.45">
      <c r="A672" s="218">
        <v>44776</v>
      </c>
      <c r="B672" t="s">
        <v>729</v>
      </c>
      <c r="C672" s="34">
        <v>7.7</v>
      </c>
      <c r="D672" s="27" t="s">
        <v>670</v>
      </c>
      <c r="E672" t="s">
        <v>219</v>
      </c>
      <c r="F672" s="28"/>
      <c r="G672" s="214">
        <v>1</v>
      </c>
      <c r="H672" s="28">
        <v>1054.9000000000001</v>
      </c>
      <c r="I672" s="28"/>
      <c r="J672" s="109">
        <f>(Table3[[#This Row],[QTY]]*Table3[[#This Row],[Supplies Cost]])+Table3[[#This Row],[Tax/Fees]]</f>
        <v>1054.9000000000001</v>
      </c>
      <c r="L672" s="4" t="s">
        <v>33</v>
      </c>
      <c r="M672" s="1" t="s">
        <v>47</v>
      </c>
      <c r="N672" s="31"/>
      <c r="O672" s="31"/>
      <c r="P672" s="31"/>
      <c r="Q672" s="31"/>
      <c r="R672" s="31">
        <v>7.7549999999999999</v>
      </c>
      <c r="S672" s="31"/>
      <c r="T672" s="40" t="s">
        <v>433</v>
      </c>
      <c r="U672" s="31" t="str">
        <f>LEFT(Table3[[#This Row],[Stage]],FIND(".",Table3[[#This Row],[Stage]],1)-1)</f>
        <v>7</v>
      </c>
      <c r="V672" s="31" t="str">
        <f>VLOOKUP(ABS(Table3[[#This Row],[Type]]),[1]!Table9[#All],2)</f>
        <v>Carpentry</v>
      </c>
    </row>
    <row r="673" spans="1:22" x14ac:dyDescent="0.45">
      <c r="A673" s="55">
        <v>44776</v>
      </c>
      <c r="B673" t="s">
        <v>730</v>
      </c>
      <c r="C673" s="57">
        <v>7.7</v>
      </c>
      <c r="D673" s="90" t="s">
        <v>670</v>
      </c>
      <c r="E673" t="s">
        <v>69</v>
      </c>
      <c r="F673" s="58"/>
      <c r="G673" s="214">
        <v>1</v>
      </c>
      <c r="H673" s="58">
        <v>228.2</v>
      </c>
      <c r="I673" s="28"/>
      <c r="J673" s="109">
        <f>(Table3[[#This Row],[QTY]]*Table3[[#This Row],[Supplies Cost]])+Table3[[#This Row],[Tax/Fees]]</f>
        <v>228.2</v>
      </c>
      <c r="L673" s="4" t="s">
        <v>33</v>
      </c>
      <c r="M673" s="1" t="s">
        <v>47</v>
      </c>
      <c r="N673" s="31"/>
      <c r="O673" s="31"/>
      <c r="P673" s="31"/>
      <c r="Q673" s="31"/>
      <c r="R673" s="31">
        <v>7.76</v>
      </c>
      <c r="S673" s="31"/>
      <c r="T673" s="31" t="s">
        <v>433</v>
      </c>
      <c r="U673" s="31" t="str">
        <f>LEFT(Table3[[#This Row],[Stage]],FIND(".",Table3[[#This Row],[Stage]],1)-1)</f>
        <v>7</v>
      </c>
      <c r="V673" s="31" t="str">
        <f>VLOOKUP(ABS(Table3[[#This Row],[Type]]),[1]!Table9[#All],2)</f>
        <v>Carpentry</v>
      </c>
    </row>
    <row r="674" spans="1:22" x14ac:dyDescent="0.45">
      <c r="A674" s="218">
        <v>44776</v>
      </c>
      <c r="B674" t="s">
        <v>730</v>
      </c>
      <c r="C674" s="34">
        <v>7.7</v>
      </c>
      <c r="D674" s="27" t="s">
        <v>670</v>
      </c>
      <c r="E674" t="s">
        <v>69</v>
      </c>
      <c r="F674" s="28"/>
      <c r="G674" s="214">
        <v>1</v>
      </c>
      <c r="H674" s="28">
        <v>111.28</v>
      </c>
      <c r="I674" s="28"/>
      <c r="J674" s="109">
        <f>(Table3[[#This Row],[QTY]]*Table3[[#This Row],[Supplies Cost]])+Table3[[#This Row],[Tax/Fees]]</f>
        <v>111.28</v>
      </c>
      <c r="L674" s="4" t="s">
        <v>33</v>
      </c>
      <c r="M674" s="1" t="s">
        <v>47</v>
      </c>
      <c r="N674" s="31"/>
      <c r="O674" s="1"/>
      <c r="P674" s="31"/>
      <c r="Q674" s="31"/>
      <c r="R674" s="31">
        <v>7.7649999999999997</v>
      </c>
      <c r="S674" s="31"/>
      <c r="T674" s="31" t="s">
        <v>433</v>
      </c>
      <c r="U674" s="31" t="str">
        <f>LEFT(Table3[[#This Row],[Stage]],FIND(".",Table3[[#This Row],[Stage]],1)-1)</f>
        <v>7</v>
      </c>
      <c r="V674" s="31" t="str">
        <f>VLOOKUP(ABS(Table3[[#This Row],[Type]]),[1]!Table9[#All],2)</f>
        <v>Carpentry</v>
      </c>
    </row>
    <row r="675" spans="1:22" x14ac:dyDescent="0.45">
      <c r="A675" s="218">
        <v>44776</v>
      </c>
      <c r="B675" t="s">
        <v>731</v>
      </c>
      <c r="C675" s="34">
        <v>7.7</v>
      </c>
      <c r="D675" s="27" t="s">
        <v>670</v>
      </c>
      <c r="E675" t="s">
        <v>69</v>
      </c>
      <c r="F675" s="28"/>
      <c r="G675" s="214">
        <v>1</v>
      </c>
      <c r="H675" s="28">
        <v>1315</v>
      </c>
      <c r="I675" s="28"/>
      <c r="J675" s="109">
        <f>(Table3[[#This Row],[QTY]]*Table3[[#This Row],[Supplies Cost]])+Table3[[#This Row],[Tax/Fees]]</f>
        <v>1315</v>
      </c>
      <c r="L675" s="4" t="s">
        <v>92</v>
      </c>
      <c r="M675" s="1" t="s">
        <v>34</v>
      </c>
      <c r="N675" s="31"/>
      <c r="O675">
        <v>22080301</v>
      </c>
      <c r="P675" s="31"/>
      <c r="Q675" s="31"/>
      <c r="R675" s="31"/>
      <c r="S675" s="31"/>
      <c r="T675" s="31" t="s">
        <v>698</v>
      </c>
      <c r="U675" s="31" t="str">
        <f>LEFT(Table3[[#This Row],[Stage]],FIND(".",Table3[[#This Row],[Stage]],1)-1)</f>
        <v>7</v>
      </c>
      <c r="V675" s="31" t="str">
        <f>VLOOKUP(ABS(Table3[[#This Row],[Type]]),[1]!Table9[#All],2)</f>
        <v>Carpentry</v>
      </c>
    </row>
    <row r="676" spans="1:22" x14ac:dyDescent="0.45">
      <c r="A676" s="218">
        <v>44776</v>
      </c>
      <c r="B676" t="s">
        <v>731</v>
      </c>
      <c r="C676" s="220">
        <v>7.7</v>
      </c>
      <c r="D676" s="27" t="s">
        <v>670</v>
      </c>
      <c r="E676" t="s">
        <v>69</v>
      </c>
      <c r="F676" s="28"/>
      <c r="G676" s="214">
        <v>1</v>
      </c>
      <c r="H676" s="28">
        <v>1300</v>
      </c>
      <c r="I676" s="28"/>
      <c r="J676" s="109">
        <f>(Table3[[#This Row],[QTY]]*Table3[[#This Row],[Supplies Cost]])+Table3[[#This Row],[Tax/Fees]]</f>
        <v>1300</v>
      </c>
      <c r="K676" s="203">
        <v>2615</v>
      </c>
      <c r="L676" s="4" t="s">
        <v>33</v>
      </c>
      <c r="M676" s="1" t="s">
        <v>47</v>
      </c>
      <c r="N676" s="31"/>
      <c r="O676" s="25">
        <v>22080301</v>
      </c>
      <c r="P676" s="31"/>
      <c r="Q676" s="31"/>
      <c r="R676" s="31">
        <v>7.72</v>
      </c>
      <c r="S676" s="31"/>
      <c r="T676" s="31" t="s">
        <v>698</v>
      </c>
      <c r="U676" s="31" t="str">
        <f>LEFT(Table3[[#This Row],[Stage]],FIND(".",Table3[[#This Row],[Stage]],1)-1)</f>
        <v>7</v>
      </c>
      <c r="V676" s="31" t="str">
        <f>VLOOKUP(ABS(Table3[[#This Row],[Type]]),[1]!Table9[#All],2)</f>
        <v>Carpentry</v>
      </c>
    </row>
    <row r="677" spans="1:22" s="129" customFormat="1" x14ac:dyDescent="0.45">
      <c r="A677" s="218">
        <v>44776</v>
      </c>
      <c r="B677" t="s">
        <v>121</v>
      </c>
      <c r="C677" s="34">
        <v>1.1100000000000001</v>
      </c>
      <c r="D677" s="27" t="s">
        <v>122</v>
      </c>
      <c r="E677" t="s">
        <v>123</v>
      </c>
      <c r="F677" s="28"/>
      <c r="G677" s="214">
        <v>1</v>
      </c>
      <c r="H677" s="28">
        <v>1800</v>
      </c>
      <c r="I677" s="28"/>
      <c r="J677" s="109">
        <f>(Table3[[#This Row],[QTY]]*Table3[[#This Row],[Supplies Cost]])+Table3[[#This Row],[Tax/Fees]]</f>
        <v>1800</v>
      </c>
      <c r="K677" s="4"/>
      <c r="L677" s="4" t="s">
        <v>33</v>
      </c>
      <c r="M677" s="1" t="s">
        <v>124</v>
      </c>
      <c r="N677" s="31"/>
      <c r="O677" s="31"/>
      <c r="P677" s="31"/>
      <c r="Q677" s="31"/>
      <c r="R677" s="31">
        <v>7.8239999999999998</v>
      </c>
      <c r="S677" s="31"/>
      <c r="T677" s="31" t="s">
        <v>60</v>
      </c>
      <c r="U677" s="31" t="str">
        <f>LEFT(Table3[[#This Row],[Stage]],FIND(".",Table3[[#This Row],[Stage]],1)-1)</f>
        <v>1</v>
      </c>
      <c r="V677" s="31" t="str">
        <f>VLOOKUP(ABS(Table3[[#This Row],[Type]]),[1]!Table9[#All],2)</f>
        <v>Transfers</v>
      </c>
    </row>
    <row r="678" spans="1:22" x14ac:dyDescent="0.45">
      <c r="A678" s="55">
        <v>44777</v>
      </c>
      <c r="B678" t="s">
        <v>732</v>
      </c>
      <c r="C678" s="57">
        <v>7.7</v>
      </c>
      <c r="D678" s="27" t="s">
        <v>489</v>
      </c>
      <c r="E678" t="s">
        <v>71</v>
      </c>
      <c r="F678" s="58"/>
      <c r="G678" s="214">
        <v>1</v>
      </c>
      <c r="H678" s="58">
        <v>316.10000000000002</v>
      </c>
      <c r="I678" s="58"/>
      <c r="J678" s="109">
        <f>(Table3[[#This Row],[QTY]]*Table3[[#This Row],[Supplies Cost]])+Table3[[#This Row],[Tax/Fees]]</f>
        <v>316.10000000000002</v>
      </c>
      <c r="L678" s="4" t="s">
        <v>33</v>
      </c>
      <c r="M678" s="1" t="s">
        <v>47</v>
      </c>
      <c r="N678" s="40"/>
      <c r="O678" s="40"/>
      <c r="P678" s="40"/>
      <c r="Q678" s="40"/>
      <c r="R678" s="40">
        <v>7.71</v>
      </c>
      <c r="S678" s="40"/>
      <c r="T678" s="31" t="s">
        <v>433</v>
      </c>
      <c r="U678" s="40" t="str">
        <f>LEFT(Table3[[#This Row],[Stage]],FIND(".",Table3[[#This Row],[Stage]],1)-1)</f>
        <v>7</v>
      </c>
      <c r="V678" s="40" t="str">
        <f>VLOOKUP(ABS(Table3[[#This Row],[Type]]),[1]!Table9[#All],2)</f>
        <v>Carpentry</v>
      </c>
    </row>
    <row r="679" spans="1:22" x14ac:dyDescent="0.45">
      <c r="A679" s="55">
        <v>44778</v>
      </c>
      <c r="B679" t="s">
        <v>733</v>
      </c>
      <c r="C679" s="34">
        <v>8.0399999999999991</v>
      </c>
      <c r="D679" s="27" t="s">
        <v>45</v>
      </c>
      <c r="E679" t="s">
        <v>127</v>
      </c>
      <c r="F679" s="28"/>
      <c r="G679" s="214">
        <v>2</v>
      </c>
      <c r="H679" s="28">
        <v>305.5</v>
      </c>
      <c r="I679" s="28"/>
      <c r="J679" s="109">
        <f>(Table3[[#This Row],[QTY]]*Table3[[#This Row],[Supplies Cost]])+Table3[[#This Row],[Tax/Fees]]</f>
        <v>611</v>
      </c>
      <c r="L679" s="4" t="s">
        <v>33</v>
      </c>
      <c r="M679" s="1" t="s">
        <v>77</v>
      </c>
      <c r="N679" s="31"/>
      <c r="O679" s="31"/>
      <c r="P679" s="31"/>
      <c r="Q679" s="31"/>
      <c r="R679" s="31">
        <v>8.0419999999999998</v>
      </c>
      <c r="S679" s="31"/>
      <c r="T679" s="31" t="s">
        <v>160</v>
      </c>
      <c r="U679" s="31" t="str">
        <f>LEFT(Table3[[#This Row],[Stage]],FIND(".",Table3[[#This Row],[Stage]],1)-1)</f>
        <v>8</v>
      </c>
      <c r="V679" s="31" t="str">
        <f>VLOOKUP(ABS(Table3[[#This Row],[Type]]),[1]!Table9[#All],2)</f>
        <v>Administrative</v>
      </c>
    </row>
    <row r="680" spans="1:22" x14ac:dyDescent="0.45">
      <c r="A680" s="218">
        <v>44778</v>
      </c>
      <c r="B680" t="s">
        <v>695</v>
      </c>
      <c r="C680" s="34">
        <v>13.4</v>
      </c>
      <c r="D680" s="27" t="s">
        <v>399</v>
      </c>
      <c r="E680" t="s">
        <v>69</v>
      </c>
      <c r="F680" s="28"/>
      <c r="G680" s="214">
        <v>1</v>
      </c>
      <c r="H680" s="28">
        <v>486.92</v>
      </c>
      <c r="I680" s="28"/>
      <c r="J680" s="109">
        <f>(Table3[[#This Row],[QTY]]*Table3[[#This Row],[Supplies Cost]])+Table3[[#This Row],[Tax/Fees]]</f>
        <v>486.92</v>
      </c>
      <c r="L680" s="4" t="s">
        <v>33</v>
      </c>
      <c r="M680" s="1" t="s">
        <v>47</v>
      </c>
      <c r="N680" s="31"/>
      <c r="O680" s="31"/>
      <c r="P680" s="31"/>
      <c r="Q680" s="31"/>
      <c r="R680" s="31">
        <v>13.425000000000001</v>
      </c>
      <c r="S680" s="31"/>
      <c r="T680" s="31" t="s">
        <v>719</v>
      </c>
      <c r="U680" s="31" t="str">
        <f>LEFT(Table3[[#This Row],[Stage]],FIND(".",Table3[[#This Row],[Stage]],1)-1)</f>
        <v>13</v>
      </c>
      <c r="V680" s="31" t="str">
        <f>VLOOKUP(ABS(Table3[[#This Row],[Type]]),[1]!Table9[#All],2)</f>
        <v>Electrical</v>
      </c>
    </row>
    <row r="681" spans="1:22" x14ac:dyDescent="0.45">
      <c r="A681" s="218">
        <v>44779</v>
      </c>
      <c r="B681" t="s">
        <v>734</v>
      </c>
      <c r="C681" s="34">
        <v>25.1</v>
      </c>
      <c r="D681" s="27" t="s">
        <v>489</v>
      </c>
      <c r="E681" t="s">
        <v>590</v>
      </c>
      <c r="F681" s="28"/>
      <c r="G681" s="214">
        <v>1</v>
      </c>
      <c r="H681" s="28">
        <v>35.96</v>
      </c>
      <c r="I681" s="28"/>
      <c r="J681" s="109">
        <f>(Table3[[#This Row],[QTY]]*Table3[[#This Row],[Supplies Cost]])+Table3[[#This Row],[Tax/Fees]]</f>
        <v>35.96</v>
      </c>
      <c r="L681" s="4" t="s">
        <v>33</v>
      </c>
      <c r="M681" s="1" t="s">
        <v>47</v>
      </c>
      <c r="N681" s="31"/>
      <c r="O681" s="31"/>
      <c r="P681" s="31"/>
      <c r="Q681" s="31"/>
      <c r="R681" s="31">
        <v>7.7350000000000003</v>
      </c>
      <c r="S681" s="31"/>
      <c r="T681" s="31" t="s">
        <v>568</v>
      </c>
      <c r="U681" s="31" t="str">
        <f>LEFT(Table3[[#This Row],[Stage]],FIND(".",Table3[[#This Row],[Stage]],1)-1)</f>
        <v>25</v>
      </c>
      <c r="V681" s="31" t="str">
        <f>VLOOKUP(ABS(Table3[[#This Row],[Type]]),[1]!Table9[#All],2)</f>
        <v>Tiling</v>
      </c>
    </row>
    <row r="682" spans="1:22" x14ac:dyDescent="0.45">
      <c r="A682" s="218">
        <v>44779</v>
      </c>
      <c r="B682" t="s">
        <v>147</v>
      </c>
      <c r="C682" s="57">
        <v>13.4</v>
      </c>
      <c r="D682" s="90" t="s">
        <v>399</v>
      </c>
      <c r="E682" t="s">
        <v>575</v>
      </c>
      <c r="F682" s="28"/>
      <c r="G682" s="214">
        <v>1</v>
      </c>
      <c r="H682" s="28">
        <v>1301.5</v>
      </c>
      <c r="I682" s="28"/>
      <c r="J682" s="109">
        <f>(Table3[[#This Row],[QTY]]*Table3[[#This Row],[Supplies Cost]])+Table3[[#This Row],[Tax/Fees]]</f>
        <v>1301.5</v>
      </c>
      <c r="L682" s="4" t="s">
        <v>33</v>
      </c>
      <c r="M682" s="1" t="s">
        <v>47</v>
      </c>
      <c r="N682" s="31"/>
      <c r="O682" s="31"/>
      <c r="P682" s="31"/>
      <c r="Q682" s="31"/>
      <c r="R682" s="31">
        <v>13.44</v>
      </c>
      <c r="S682" s="31"/>
      <c r="T682" s="31" t="s">
        <v>719</v>
      </c>
      <c r="U682" s="31" t="str">
        <f>LEFT(Table3[[#This Row],[Stage]],FIND(".",Table3[[#This Row],[Stage]],1)-1)</f>
        <v>13</v>
      </c>
      <c r="V682" s="31" t="str">
        <f>VLOOKUP(ABS(Table3[[#This Row],[Type]]),[1]!Table9[#All],2)</f>
        <v>Electrical</v>
      </c>
    </row>
    <row r="683" spans="1:22" x14ac:dyDescent="0.45">
      <c r="A683" s="218">
        <v>44779</v>
      </c>
      <c r="B683" t="s">
        <v>735</v>
      </c>
      <c r="C683" s="57">
        <v>26.52</v>
      </c>
      <c r="D683" s="90" t="s">
        <v>670</v>
      </c>
      <c r="E683" t="s">
        <v>440</v>
      </c>
      <c r="F683" s="28"/>
      <c r="G683" s="214">
        <v>1</v>
      </c>
      <c r="H683" s="28">
        <v>120</v>
      </c>
      <c r="I683" s="28"/>
      <c r="J683" s="109">
        <f>(Table3[[#This Row],[QTY]]*Table3[[#This Row],[Supplies Cost]])+Table3[[#This Row],[Tax/Fees]]</f>
        <v>120</v>
      </c>
      <c r="L683" s="4" t="s">
        <v>33</v>
      </c>
      <c r="M683" s="1" t="s">
        <v>47</v>
      </c>
      <c r="N683" s="31"/>
      <c r="O683" s="31"/>
      <c r="P683" s="31"/>
      <c r="Q683" s="31"/>
      <c r="R683" s="31">
        <v>26.5245</v>
      </c>
      <c r="S683" s="31"/>
      <c r="T683" s="31" t="s">
        <v>433</v>
      </c>
      <c r="U683" s="31" t="str">
        <f>LEFT(Table3[[#This Row],[Stage]],FIND(".",Table3[[#This Row],[Stage]],1)-1)</f>
        <v>26</v>
      </c>
      <c r="V683" s="31" t="str">
        <f>VLOOKUP(ABS(Table3[[#This Row],[Type]]),[1]!Table9[#All],2)</f>
        <v>Painting</v>
      </c>
    </row>
    <row r="684" spans="1:22" x14ac:dyDescent="0.45">
      <c r="A684" s="218">
        <v>44781</v>
      </c>
      <c r="B684" t="s">
        <v>736</v>
      </c>
      <c r="C684" s="34">
        <v>13.4</v>
      </c>
      <c r="D684" s="27" t="s">
        <v>399</v>
      </c>
      <c r="E684" t="s">
        <v>71</v>
      </c>
      <c r="F684" s="28"/>
      <c r="G684" s="214">
        <v>1</v>
      </c>
      <c r="H684" s="28">
        <v>209.37</v>
      </c>
      <c r="I684" s="28"/>
      <c r="J684" s="109">
        <f>(Table3[[#This Row],[QTY]]*Table3[[#This Row],[Supplies Cost]])+Table3[[#This Row],[Tax/Fees]]</f>
        <v>209.37</v>
      </c>
      <c r="L684" s="4" t="s">
        <v>33</v>
      </c>
      <c r="M684" s="1" t="s">
        <v>47</v>
      </c>
      <c r="N684" s="31"/>
      <c r="O684" s="31"/>
      <c r="P684" s="31"/>
      <c r="Q684" s="31"/>
      <c r="R684" s="31">
        <v>13.43</v>
      </c>
      <c r="S684" s="31"/>
      <c r="T684" s="31" t="s">
        <v>526</v>
      </c>
      <c r="U684" s="31" t="str">
        <f>LEFT(Table3[[#This Row],[Stage]],FIND(".",Table3[[#This Row],[Stage]],1)-1)</f>
        <v>13</v>
      </c>
      <c r="V684" s="31" t="str">
        <f>VLOOKUP(ABS(Table3[[#This Row],[Type]]),[1]!Table9[#All],2)</f>
        <v>Electrical</v>
      </c>
    </row>
    <row r="685" spans="1:22" x14ac:dyDescent="0.45">
      <c r="A685" s="218">
        <v>44784</v>
      </c>
      <c r="B685" t="s">
        <v>737</v>
      </c>
      <c r="C685" s="56">
        <v>26.5</v>
      </c>
      <c r="D685" s="90" t="s">
        <v>358</v>
      </c>
      <c r="E685" t="s">
        <v>470</v>
      </c>
      <c r="F685" s="28"/>
      <c r="G685" s="214">
        <v>1</v>
      </c>
      <c r="H685" s="28">
        <v>3500</v>
      </c>
      <c r="I685" s="28"/>
      <c r="J685" s="109">
        <f>(Table3[[#This Row],[QTY]]*Table3[[#This Row],[Supplies Cost]])+Table3[[#This Row],[Tax/Fees]]</f>
        <v>3500</v>
      </c>
      <c r="L685" s="4" t="s">
        <v>33</v>
      </c>
      <c r="M685" s="1" t="s">
        <v>34</v>
      </c>
      <c r="N685" s="31"/>
      <c r="O685" s="31"/>
      <c r="P685" s="31"/>
      <c r="Q685" s="31"/>
      <c r="R685" s="31">
        <v>26.516999999999999</v>
      </c>
      <c r="S685" s="31"/>
      <c r="T685" s="31" t="s">
        <v>433</v>
      </c>
      <c r="U685" s="31" t="str">
        <f>LEFT(Table3[[#This Row],[Stage]],FIND(".",Table3[[#This Row],[Stage]],1)-1)</f>
        <v>26</v>
      </c>
      <c r="V685" s="31" t="str">
        <f>VLOOKUP(ABS(Table3[[#This Row],[Type]]),[1]!Table9[#All],2)</f>
        <v>Painting</v>
      </c>
    </row>
    <row r="686" spans="1:22" x14ac:dyDescent="0.45">
      <c r="A686" s="55">
        <v>44784</v>
      </c>
      <c r="B686" t="s">
        <v>738</v>
      </c>
      <c r="C686" s="34">
        <v>25.1</v>
      </c>
      <c r="D686" s="27" t="s">
        <v>489</v>
      </c>
      <c r="E686" t="s">
        <v>590</v>
      </c>
      <c r="F686" s="58"/>
      <c r="G686" s="214">
        <v>1</v>
      </c>
      <c r="H686" s="58">
        <v>444.43</v>
      </c>
      <c r="I686" s="58"/>
      <c r="J686" s="109">
        <f>(Table3[[#This Row],[QTY]]*Table3[[#This Row],[Supplies Cost]])+Table3[[#This Row],[Tax/Fees]]</f>
        <v>444.43</v>
      </c>
      <c r="L686" s="4" t="s">
        <v>33</v>
      </c>
      <c r="M686" s="1" t="s">
        <v>47</v>
      </c>
      <c r="N686" s="40"/>
      <c r="O686" s="40"/>
      <c r="P686" s="40"/>
      <c r="Q686" s="40"/>
      <c r="R686" s="40">
        <v>7.7549999999999999</v>
      </c>
      <c r="S686" s="40"/>
      <c r="T686" s="31" t="s">
        <v>568</v>
      </c>
      <c r="U686" s="40" t="str">
        <f>LEFT(Table3[[#This Row],[Stage]],FIND(".",Table3[[#This Row],[Stage]],1)-1)</f>
        <v>25</v>
      </c>
      <c r="V686" s="40" t="str">
        <f>VLOOKUP(ABS(Table3[[#This Row],[Type]]),[1]!Table9[#All],2)</f>
        <v>Tiling</v>
      </c>
    </row>
    <row r="687" spans="1:22" x14ac:dyDescent="0.45">
      <c r="A687" s="55">
        <v>44784</v>
      </c>
      <c r="B687" t="s">
        <v>739</v>
      </c>
      <c r="C687" s="57">
        <v>7.7</v>
      </c>
      <c r="D687" s="27" t="s">
        <v>489</v>
      </c>
      <c r="E687" t="s">
        <v>219</v>
      </c>
      <c r="F687" s="28"/>
      <c r="G687" s="214">
        <v>1</v>
      </c>
      <c r="H687" s="28">
        <v>426.55</v>
      </c>
      <c r="I687" s="28"/>
      <c r="J687" s="109">
        <f>(Table3[[#This Row],[QTY]]*Table3[[#This Row],[Supplies Cost]])+Table3[[#This Row],[Tax/Fees]]</f>
        <v>426.55</v>
      </c>
      <c r="L687" s="4" t="s">
        <v>33</v>
      </c>
      <c r="M687" s="1" t="s">
        <v>47</v>
      </c>
      <c r="N687" s="31"/>
      <c r="O687" s="31"/>
      <c r="P687" s="31"/>
      <c r="Q687" s="31"/>
      <c r="R687" s="31">
        <v>7.76</v>
      </c>
      <c r="S687" s="31"/>
      <c r="T687" s="31" t="s">
        <v>269</v>
      </c>
      <c r="U687" s="31" t="str">
        <f>LEFT(Table3[[#This Row],[Stage]],FIND(".",Table3[[#This Row],[Stage]],1)-1)</f>
        <v>7</v>
      </c>
      <c r="V687" s="31" t="str">
        <f>VLOOKUP(ABS(Table3[[#This Row],[Type]]),[1]!Table9[#All],2)</f>
        <v>Carpentry</v>
      </c>
    </row>
    <row r="688" spans="1:22" x14ac:dyDescent="0.45">
      <c r="A688" s="218">
        <v>44784</v>
      </c>
      <c r="B688" t="s">
        <v>740</v>
      </c>
      <c r="C688" s="34">
        <v>1.1100000000000001</v>
      </c>
      <c r="D688" s="27" t="s">
        <v>122</v>
      </c>
      <c r="E688" t="s">
        <v>741</v>
      </c>
      <c r="F688" s="28"/>
      <c r="G688" s="214">
        <v>1</v>
      </c>
      <c r="H688" s="28">
        <v>36400</v>
      </c>
      <c r="I688" s="28">
        <v>-113.75</v>
      </c>
      <c r="J688" s="109">
        <f>(Table3[[#This Row],[QTY]]*Table3[[#This Row],[Supplies Cost]])+Table3[[#This Row],[Tax/Fees]]</f>
        <v>36286.25</v>
      </c>
      <c r="L688" s="4" t="s">
        <v>33</v>
      </c>
      <c r="M688" s="1" t="s">
        <v>124</v>
      </c>
      <c r="N688" s="31"/>
      <c r="O688" s="31"/>
      <c r="P688" s="31"/>
      <c r="Q688" s="31"/>
      <c r="R688" s="31"/>
      <c r="S688" s="31"/>
      <c r="T688" s="31" t="s">
        <v>60</v>
      </c>
      <c r="U688" s="31" t="str">
        <f>LEFT(Table3[[#This Row],[Stage]],FIND(".",Table3[[#This Row],[Stage]],1)-1)</f>
        <v>1</v>
      </c>
      <c r="V688" s="31" t="str">
        <f>VLOOKUP(ABS(Table3[[#This Row],[Type]]),[1]!Table9[#All],2)</f>
        <v>Transfers</v>
      </c>
    </row>
    <row r="689" spans="1:22" x14ac:dyDescent="0.45">
      <c r="A689" s="218">
        <v>44789</v>
      </c>
      <c r="B689" t="s">
        <v>742</v>
      </c>
      <c r="C689" s="34">
        <v>9.1</v>
      </c>
      <c r="D689" s="27" t="s">
        <v>489</v>
      </c>
      <c r="E689" t="s">
        <v>743</v>
      </c>
      <c r="F689" s="28"/>
      <c r="G689" s="214">
        <v>1</v>
      </c>
      <c r="H689" s="28">
        <v>2000</v>
      </c>
      <c r="I689" s="28"/>
      <c r="J689" s="109">
        <f>(Table3[[#This Row],[QTY]]*Table3[[#This Row],[Supplies Cost]])+Table3[[#This Row],[Tax/Fees]]</f>
        <v>2000</v>
      </c>
      <c r="L689" s="4" t="s">
        <v>33</v>
      </c>
      <c r="M689" s="1" t="s">
        <v>34</v>
      </c>
      <c r="N689" s="31"/>
      <c r="O689" s="31"/>
      <c r="P689" s="31"/>
      <c r="Q689" s="31"/>
      <c r="R689" s="31">
        <v>9.11</v>
      </c>
      <c r="S689" s="31"/>
      <c r="T689" s="31" t="s">
        <v>160</v>
      </c>
      <c r="U689" s="31" t="str">
        <f>LEFT(Table3[[#This Row],[Stage]],FIND(".",Table3[[#This Row],[Stage]],1)-1)</f>
        <v>9</v>
      </c>
      <c r="V689" s="31">
        <f>VLOOKUP(ABS(Table3[[#This Row],[Type]]),[1]!Table9[#All],2)</f>
        <v>0</v>
      </c>
    </row>
    <row r="690" spans="1:22" ht="30.75" x14ac:dyDescent="0.45">
      <c r="A690" s="218">
        <v>44790</v>
      </c>
      <c r="B690" t="s">
        <v>744</v>
      </c>
      <c r="C690" s="57">
        <v>7.7</v>
      </c>
      <c r="D690" s="27" t="s">
        <v>607</v>
      </c>
      <c r="E690" t="s">
        <v>69</v>
      </c>
      <c r="F690" s="28"/>
      <c r="G690" s="214">
        <v>1</v>
      </c>
      <c r="H690" s="28">
        <f>5230-2615</f>
        <v>2615</v>
      </c>
      <c r="I690" s="28"/>
      <c r="J690" s="109">
        <f>(Table3[[#This Row],[QTY]]*Table3[[#This Row],[Supplies Cost]])+Table3[[#This Row],[Tax/Fees]]</f>
        <v>2615</v>
      </c>
      <c r="L690" s="4" t="s">
        <v>92</v>
      </c>
      <c r="M690" s="1" t="s">
        <v>34</v>
      </c>
      <c r="N690" s="31"/>
      <c r="O690" s="224" t="s">
        <v>745</v>
      </c>
      <c r="P690" s="31"/>
      <c r="Q690" s="31"/>
      <c r="R690" s="31"/>
      <c r="S690" s="31"/>
      <c r="T690" s="31" t="s">
        <v>616</v>
      </c>
      <c r="U690" s="31" t="str">
        <f>LEFT(Table3[[#This Row],[Stage]],FIND(".",Table3[[#This Row],[Stage]],1)-1)</f>
        <v>7</v>
      </c>
      <c r="V690" s="31" t="str">
        <f>VLOOKUP(ABS(Table3[[#This Row],[Type]]),[1]!Table9[#All],2)</f>
        <v>Carpentry</v>
      </c>
    </row>
    <row r="691" spans="1:22" ht="30.75" x14ac:dyDescent="0.45">
      <c r="A691" s="218">
        <v>44790</v>
      </c>
      <c r="B691" t="s">
        <v>746</v>
      </c>
      <c r="C691" s="220">
        <v>7.7</v>
      </c>
      <c r="D691" s="27" t="s">
        <v>607</v>
      </c>
      <c r="E691" t="s">
        <v>69</v>
      </c>
      <c r="F691" s="28"/>
      <c r="G691" s="214">
        <v>1</v>
      </c>
      <c r="H691" s="28">
        <v>1390</v>
      </c>
      <c r="I691" s="28"/>
      <c r="J691" s="109">
        <f>(Table3[[#This Row],[QTY]]*Table3[[#This Row],[Supplies Cost]])+Table3[[#This Row],[Tax/Fees]]</f>
        <v>1390</v>
      </c>
      <c r="L691" s="4" t="s">
        <v>92</v>
      </c>
      <c r="M691" s="1" t="s">
        <v>34</v>
      </c>
      <c r="N691" s="31"/>
      <c r="O691" s="224" t="s">
        <v>745</v>
      </c>
      <c r="P691" s="31"/>
      <c r="Q691" s="31"/>
      <c r="R691" s="31"/>
      <c r="S691" s="31"/>
      <c r="T691" s="31" t="s">
        <v>616</v>
      </c>
      <c r="U691" s="31" t="str">
        <f>LEFT(Table3[[#This Row],[Stage]],FIND(".",Table3[[#This Row],[Stage]],1)-1)</f>
        <v>7</v>
      </c>
      <c r="V691" s="31" t="str">
        <f>VLOOKUP(ABS(Table3[[#This Row],[Type]]),[1]!Table9[#All],2)</f>
        <v>Carpentry</v>
      </c>
    </row>
    <row r="692" spans="1:22" ht="30.75" x14ac:dyDescent="0.45">
      <c r="A692" s="218">
        <v>44790</v>
      </c>
      <c r="B692" t="s">
        <v>747</v>
      </c>
      <c r="C692" s="34">
        <v>7.7</v>
      </c>
      <c r="D692" s="27" t="s">
        <v>607</v>
      </c>
      <c r="E692" t="s">
        <v>69</v>
      </c>
      <c r="F692" s="28"/>
      <c r="G692" s="214">
        <v>1</v>
      </c>
      <c r="H692" s="28">
        <v>2940</v>
      </c>
      <c r="I692" s="28"/>
      <c r="J692" s="109">
        <f>(Table3[[#This Row],[QTY]]*Table3[[#This Row],[Supplies Cost]])+Table3[[#This Row],[Tax/Fees]]</f>
        <v>2940</v>
      </c>
      <c r="L692" s="4" t="s">
        <v>92</v>
      </c>
      <c r="M692" s="1" t="s">
        <v>34</v>
      </c>
      <c r="N692" s="31"/>
      <c r="O692" s="224" t="s">
        <v>745</v>
      </c>
      <c r="P692" s="31"/>
      <c r="Q692" s="31"/>
      <c r="R692" s="31"/>
      <c r="S692" s="31"/>
      <c r="T692" s="31" t="s">
        <v>616</v>
      </c>
      <c r="U692" s="31" t="str">
        <f>LEFT(Table3[[#This Row],[Stage]],FIND(".",Table3[[#This Row],[Stage]],1)-1)</f>
        <v>7</v>
      </c>
      <c r="V692" s="31" t="str">
        <f>VLOOKUP(ABS(Table3[[#This Row],[Type]]),[1]!Table9[#All],2)</f>
        <v>Carpentry</v>
      </c>
    </row>
    <row r="693" spans="1:22" ht="30.75" x14ac:dyDescent="0.45">
      <c r="A693" s="218">
        <v>44790</v>
      </c>
      <c r="B693" t="s">
        <v>748</v>
      </c>
      <c r="C693" s="34">
        <v>7.7</v>
      </c>
      <c r="D693" s="27" t="s">
        <v>607</v>
      </c>
      <c r="E693" t="s">
        <v>69</v>
      </c>
      <c r="F693" s="28"/>
      <c r="G693" s="214">
        <v>1</v>
      </c>
      <c r="H693" s="28">
        <v>3370</v>
      </c>
      <c r="I693" s="28"/>
      <c r="J693" s="109">
        <f>(Table3[[#This Row],[QTY]]*Table3[[#This Row],[Supplies Cost]])+Table3[[#This Row],[Tax/Fees]]</f>
        <v>3370</v>
      </c>
      <c r="K693" s="203">
        <v>10315</v>
      </c>
      <c r="L693" s="4" t="s">
        <v>33</v>
      </c>
      <c r="M693" s="1" t="s">
        <v>34</v>
      </c>
      <c r="N693" s="31"/>
      <c r="O693" s="224" t="s">
        <v>745</v>
      </c>
      <c r="P693" s="31"/>
      <c r="Q693" s="31"/>
      <c r="R693" s="31">
        <v>7.7249999999999996</v>
      </c>
      <c r="S693" s="31"/>
      <c r="T693" s="31" t="s">
        <v>616</v>
      </c>
      <c r="U693" s="31" t="str">
        <f>LEFT(Table3[[#This Row],[Stage]],FIND(".",Table3[[#This Row],[Stage]],1)-1)</f>
        <v>7</v>
      </c>
      <c r="V693" s="31" t="str">
        <f>VLOOKUP(ABS(Table3[[#This Row],[Type]]),[1]!Table9[#All],2)</f>
        <v>Carpentry</v>
      </c>
    </row>
    <row r="694" spans="1:22" x14ac:dyDescent="0.45">
      <c r="A694" s="218">
        <v>44795</v>
      </c>
      <c r="B694" t="s">
        <v>104</v>
      </c>
      <c r="C694" s="34">
        <v>8.0399999999999991</v>
      </c>
      <c r="D694" s="34" t="s">
        <v>489</v>
      </c>
      <c r="E694" t="s">
        <v>104</v>
      </c>
      <c r="F694" s="28"/>
      <c r="G694" s="214">
        <v>1</v>
      </c>
      <c r="H694" s="28">
        <v>29.66</v>
      </c>
      <c r="I694" s="28"/>
      <c r="J694" s="109">
        <f>(Table3[[#This Row],[QTY]]*Table3[[#This Row],[Supplies Cost]])+Table3[[#This Row],[Tax/Fees]]</f>
        <v>29.66</v>
      </c>
      <c r="L694" s="4" t="s">
        <v>33</v>
      </c>
      <c r="M694" s="1" t="s">
        <v>77</v>
      </c>
      <c r="N694" s="31"/>
      <c r="O694" s="31"/>
      <c r="P694" s="31"/>
      <c r="Q694" s="31"/>
      <c r="R694" s="31">
        <v>8.0424500000000005</v>
      </c>
      <c r="S694" s="31"/>
      <c r="T694" s="31" t="s">
        <v>60</v>
      </c>
      <c r="U694" s="31" t="str">
        <f>LEFT(Table3[[#This Row],[Stage]],FIND(".",Table3[[#This Row],[Stage]],1)-1)</f>
        <v>8</v>
      </c>
      <c r="V694" s="31" t="str">
        <f>VLOOKUP(ABS(Table3[[#This Row],[Type]]),[1]!Table9[#All],2)</f>
        <v>Administrative</v>
      </c>
    </row>
    <row r="695" spans="1:22" x14ac:dyDescent="0.45">
      <c r="A695" s="218">
        <v>44797</v>
      </c>
      <c r="B695" t="s">
        <v>749</v>
      </c>
      <c r="C695" s="34">
        <v>9.1999999999999993</v>
      </c>
      <c r="D695" s="27" t="s">
        <v>45</v>
      </c>
      <c r="E695" t="s">
        <v>750</v>
      </c>
      <c r="F695" s="28"/>
      <c r="G695" s="214">
        <v>1</v>
      </c>
      <c r="H695" s="28">
        <v>474.63</v>
      </c>
      <c r="I695" s="28"/>
      <c r="J695" s="109">
        <f>(Table3[[#This Row],[QTY]]*Table3[[#This Row],[Supplies Cost]])+Table3[[#This Row],[Tax/Fees]]</f>
        <v>474.63</v>
      </c>
      <c r="L695" s="4" t="s">
        <v>33</v>
      </c>
      <c r="M695" s="1" t="s">
        <v>47</v>
      </c>
      <c r="N695" s="31"/>
      <c r="O695" s="31"/>
      <c r="P695" s="31"/>
      <c r="Q695" s="31"/>
      <c r="R695" s="31">
        <v>9.2289999999999992</v>
      </c>
      <c r="S695" s="31"/>
      <c r="T695" s="31" t="s">
        <v>526</v>
      </c>
      <c r="U695" s="31" t="str">
        <f>LEFT(Table3[[#This Row],[Stage]],FIND(".",Table3[[#This Row],[Stage]],1)-1)</f>
        <v>9</v>
      </c>
      <c r="V695" s="31">
        <f>VLOOKUP(ABS(Table3[[#This Row],[Type]]),[1]!Table9[#All],2)</f>
        <v>0</v>
      </c>
    </row>
    <row r="696" spans="1:22" ht="30.75" x14ac:dyDescent="0.45">
      <c r="A696" s="218">
        <v>44798</v>
      </c>
      <c r="B696" t="s">
        <v>751</v>
      </c>
      <c r="C696" s="34">
        <v>7.51</v>
      </c>
      <c r="D696" s="27" t="s">
        <v>177</v>
      </c>
      <c r="E696" t="s">
        <v>69</v>
      </c>
      <c r="F696" s="28"/>
      <c r="G696" s="214">
        <v>1</v>
      </c>
      <c r="H696" s="28">
        <v>35.25</v>
      </c>
      <c r="I696" s="28"/>
      <c r="J696" s="109">
        <f>(Table3[[#This Row],[QTY]]*Table3[[#This Row],[Supplies Cost]])+Table3[[#This Row],[Tax/Fees]]</f>
        <v>35.25</v>
      </c>
      <c r="L696" s="4" t="s">
        <v>92</v>
      </c>
      <c r="M696" s="1" t="s">
        <v>47</v>
      </c>
      <c r="N696" s="31"/>
      <c r="O696" s="31" t="s">
        <v>752</v>
      </c>
      <c r="P696" s="31"/>
      <c r="Q696" s="31"/>
      <c r="R696" s="31"/>
      <c r="S696" s="31"/>
      <c r="T696" s="31" t="s">
        <v>616</v>
      </c>
      <c r="U696" s="31" t="str">
        <f>LEFT(Table3[[#This Row],[Stage]],FIND(".",Table3[[#This Row],[Stage]],1)-1)</f>
        <v>7</v>
      </c>
      <c r="V696" s="31" t="str">
        <f>VLOOKUP(ABS(Table3[[#This Row],[Type]]),[1]!Table9[#All],2)</f>
        <v>Carpentry</v>
      </c>
    </row>
    <row r="697" spans="1:22" ht="30.75" x14ac:dyDescent="0.45">
      <c r="A697" s="218">
        <v>44798</v>
      </c>
      <c r="B697" t="s">
        <v>753</v>
      </c>
      <c r="C697" s="57">
        <v>7.51</v>
      </c>
      <c r="D697" s="27" t="s">
        <v>177</v>
      </c>
      <c r="E697" t="s">
        <v>69</v>
      </c>
      <c r="F697" s="28"/>
      <c r="G697" s="214">
        <v>1</v>
      </c>
      <c r="H697" s="28">
        <v>118.65</v>
      </c>
      <c r="I697" s="28"/>
      <c r="J697" s="109">
        <f>(Table3[[#This Row],[QTY]]*Table3[[#This Row],[Supplies Cost]])+Table3[[#This Row],[Tax/Fees]]</f>
        <v>118.65</v>
      </c>
      <c r="L697" s="4" t="s">
        <v>92</v>
      </c>
      <c r="M697" s="1" t="s">
        <v>47</v>
      </c>
      <c r="N697" s="31"/>
      <c r="O697" s="31" t="s">
        <v>752</v>
      </c>
      <c r="P697" s="31"/>
      <c r="Q697" s="31"/>
      <c r="R697" s="31"/>
      <c r="S697" s="31"/>
      <c r="T697" s="31" t="s">
        <v>616</v>
      </c>
      <c r="U697" s="31" t="str">
        <f>LEFT(Table3[[#This Row],[Stage]],FIND(".",Table3[[#This Row],[Stage]],1)-1)</f>
        <v>7</v>
      </c>
      <c r="V697" s="31" t="str">
        <f>VLOOKUP(ABS(Table3[[#This Row],[Type]]),[1]!Table9[#All],2)</f>
        <v>Carpentry</v>
      </c>
    </row>
    <row r="698" spans="1:22" ht="30.75" x14ac:dyDescent="0.45">
      <c r="A698" s="218">
        <v>44798</v>
      </c>
      <c r="B698" t="s">
        <v>754</v>
      </c>
      <c r="C698" s="57">
        <v>7.51</v>
      </c>
      <c r="D698" s="27" t="s">
        <v>177</v>
      </c>
      <c r="E698" t="s">
        <v>69</v>
      </c>
      <c r="F698" s="28"/>
      <c r="G698" s="214">
        <v>1</v>
      </c>
      <c r="H698" s="28">
        <v>346.72</v>
      </c>
      <c r="I698" s="28"/>
      <c r="J698" s="109">
        <f>(Table3[[#This Row],[QTY]]*Table3[[#This Row],[Supplies Cost]])+Table3[[#This Row],[Tax/Fees]]</f>
        <v>346.72</v>
      </c>
      <c r="L698" s="4" t="s">
        <v>92</v>
      </c>
      <c r="M698" s="1" t="s">
        <v>47</v>
      </c>
      <c r="N698" s="31"/>
      <c r="O698" s="31" t="s">
        <v>752</v>
      </c>
      <c r="P698" s="31"/>
      <c r="Q698" s="31"/>
      <c r="R698" s="31"/>
      <c r="S698" s="31"/>
      <c r="T698" s="31" t="s">
        <v>616</v>
      </c>
      <c r="U698" s="31" t="str">
        <f>LEFT(Table3[[#This Row],[Stage]],FIND(".",Table3[[#This Row],[Stage]],1)-1)</f>
        <v>7</v>
      </c>
      <c r="V698" s="31" t="str">
        <f>VLOOKUP(ABS(Table3[[#This Row],[Type]]),[1]!Table9[#All],2)</f>
        <v>Carpentry</v>
      </c>
    </row>
    <row r="699" spans="1:22" ht="30.75" x14ac:dyDescent="0.45">
      <c r="A699" s="218">
        <v>44798</v>
      </c>
      <c r="B699" t="s">
        <v>753</v>
      </c>
      <c r="C699" s="34">
        <v>7.51</v>
      </c>
      <c r="D699" s="27" t="s">
        <v>177</v>
      </c>
      <c r="E699" t="s">
        <v>69</v>
      </c>
      <c r="F699" s="28"/>
      <c r="G699" s="214">
        <v>1</v>
      </c>
      <c r="H699" s="28">
        <v>66.75</v>
      </c>
      <c r="I699" s="28"/>
      <c r="J699" s="109">
        <f>(Table3[[#This Row],[QTY]]*Table3[[#This Row],[Supplies Cost]])+Table3[[#This Row],[Tax/Fees]]</f>
        <v>66.75</v>
      </c>
      <c r="L699" s="4" t="s">
        <v>92</v>
      </c>
      <c r="M699" s="1" t="s">
        <v>47</v>
      </c>
      <c r="N699" s="31"/>
      <c r="O699" s="31" t="s">
        <v>752</v>
      </c>
      <c r="P699" s="31"/>
      <c r="Q699" s="31"/>
      <c r="R699" s="31"/>
      <c r="S699" s="31"/>
      <c r="T699" s="31" t="s">
        <v>616</v>
      </c>
      <c r="U699" s="31" t="str">
        <f>LEFT(Table3[[#This Row],[Stage]],FIND(".",Table3[[#This Row],[Stage]],1)-1)</f>
        <v>7</v>
      </c>
      <c r="V699" s="31" t="str">
        <f>VLOOKUP(ABS(Table3[[#This Row],[Type]]),[1]!Table9[#All],2)</f>
        <v>Carpentry</v>
      </c>
    </row>
    <row r="700" spans="1:22" ht="30.75" x14ac:dyDescent="0.45">
      <c r="A700" s="55">
        <v>44798</v>
      </c>
      <c r="B700" t="s">
        <v>664</v>
      </c>
      <c r="C700" s="57">
        <v>7.51</v>
      </c>
      <c r="D700" s="90" t="s">
        <v>177</v>
      </c>
      <c r="E700" t="s">
        <v>69</v>
      </c>
      <c r="F700" s="58"/>
      <c r="G700" s="214">
        <v>1</v>
      </c>
      <c r="H700" s="58">
        <v>158.30000000000001</v>
      </c>
      <c r="I700" s="28"/>
      <c r="J700" s="109">
        <f>(Table3[[#This Row],[QTY]]*Table3[[#This Row],[Supplies Cost]])+Table3[[#This Row],[Tax/Fees]]</f>
        <v>158.30000000000001</v>
      </c>
      <c r="K700" s="203">
        <v>1068.01</v>
      </c>
      <c r="L700" s="4" t="s">
        <v>33</v>
      </c>
      <c r="M700" s="1" t="s">
        <v>47</v>
      </c>
      <c r="N700" s="31"/>
      <c r="O700" s="31" t="s">
        <v>752</v>
      </c>
      <c r="P700" s="31"/>
      <c r="Q700" s="31"/>
      <c r="R700" s="31">
        <v>7.5127499999999996</v>
      </c>
      <c r="S700" s="31"/>
      <c r="T700" s="31" t="s">
        <v>616</v>
      </c>
      <c r="U700" s="31" t="str">
        <f>LEFT(Table3[[#This Row],[Stage]],FIND(".",Table3[[#This Row],[Stage]],1)-1)</f>
        <v>7</v>
      </c>
      <c r="V700" s="31" t="str">
        <f>VLOOKUP(ABS(Table3[[#This Row],[Type]]),[1]!Table9[#All],2)</f>
        <v>Carpentry</v>
      </c>
    </row>
    <row r="701" spans="1:22" ht="30.75" x14ac:dyDescent="0.45">
      <c r="A701" s="55">
        <v>44798</v>
      </c>
      <c r="B701" t="s">
        <v>755</v>
      </c>
      <c r="C701" s="57">
        <v>7.51</v>
      </c>
      <c r="D701" s="90" t="s">
        <v>177</v>
      </c>
      <c r="E701" t="s">
        <v>69</v>
      </c>
      <c r="F701" s="58"/>
      <c r="G701" s="214">
        <v>1</v>
      </c>
      <c r="H701" s="58">
        <v>3870</v>
      </c>
      <c r="I701" s="28"/>
      <c r="J701" s="109">
        <f>(Table3[[#This Row],[QTY]]*Table3[[#This Row],[Supplies Cost]])+Table3[[#This Row],[Tax/Fees]]</f>
        <v>3870</v>
      </c>
      <c r="L701" s="4" t="s">
        <v>92</v>
      </c>
      <c r="M701" s="1" t="s">
        <v>34</v>
      </c>
      <c r="N701" s="31"/>
      <c r="O701" s="31" t="s">
        <v>756</v>
      </c>
      <c r="P701" s="31"/>
      <c r="Q701" s="31"/>
      <c r="R701" s="31"/>
      <c r="S701" s="31"/>
      <c r="T701" s="31" t="s">
        <v>652</v>
      </c>
      <c r="U701" s="31" t="str">
        <f>LEFT(Table3[[#This Row],[Stage]],FIND(".",Table3[[#This Row],[Stage]],1)-1)</f>
        <v>7</v>
      </c>
      <c r="V701" s="31" t="str">
        <f>VLOOKUP(ABS(Table3[[#This Row],[Type]]),[1]!Table9[#All],2)</f>
        <v>Carpentry</v>
      </c>
    </row>
    <row r="702" spans="1:22" x14ac:dyDescent="0.45">
      <c r="A702" s="55">
        <v>44798</v>
      </c>
      <c r="B702" t="s">
        <v>757</v>
      </c>
      <c r="C702" s="57">
        <v>10.38</v>
      </c>
      <c r="D702" s="90" t="s">
        <v>489</v>
      </c>
      <c r="E702" t="s">
        <v>611</v>
      </c>
      <c r="F702" s="58"/>
      <c r="G702" s="214">
        <v>1</v>
      </c>
      <c r="H702" s="58">
        <v>255</v>
      </c>
      <c r="I702" s="28"/>
      <c r="J702" s="109">
        <f>(Table3[[#This Row],[QTY]]*Table3[[#This Row],[Supplies Cost]])+Table3[[#This Row],[Tax/Fees]]</f>
        <v>255</v>
      </c>
      <c r="L702" s="4" t="s">
        <v>33</v>
      </c>
      <c r="M702" s="1" t="s">
        <v>47</v>
      </c>
      <c r="N702" s="31"/>
      <c r="O702" s="31"/>
      <c r="P702" s="31"/>
      <c r="Q702" s="31"/>
      <c r="R702" s="31">
        <v>10.3828</v>
      </c>
      <c r="S702" s="31"/>
      <c r="T702" s="31" t="s">
        <v>526</v>
      </c>
      <c r="U702" s="31" t="str">
        <f>LEFT(Table3[[#This Row],[Stage]],FIND(".",Table3[[#This Row],[Stage]],1)-1)</f>
        <v>10</v>
      </c>
      <c r="V702" s="31" t="str">
        <f>VLOOKUP(ABS(Table3[[#This Row],[Type]]),[1]!Table9[#All],2)</f>
        <v>Plumbing</v>
      </c>
    </row>
    <row r="703" spans="1:22" x14ac:dyDescent="0.45">
      <c r="A703" s="55">
        <v>44798</v>
      </c>
      <c r="B703" t="s">
        <v>758</v>
      </c>
      <c r="C703" s="57">
        <v>10.38</v>
      </c>
      <c r="D703" s="90" t="s">
        <v>489</v>
      </c>
      <c r="E703" t="s">
        <v>759</v>
      </c>
      <c r="F703" s="58"/>
      <c r="G703" s="214">
        <v>2</v>
      </c>
      <c r="H703" s="58">
        <v>70</v>
      </c>
      <c r="I703" s="28"/>
      <c r="J703" s="109">
        <f>(Table3[[#This Row],[QTY]]*Table3[[#This Row],[Supplies Cost]])+Table3[[#This Row],[Tax/Fees]]</f>
        <v>140</v>
      </c>
      <c r="L703" s="4" t="s">
        <v>33</v>
      </c>
      <c r="M703" s="1" t="s">
        <v>77</v>
      </c>
      <c r="N703" s="31"/>
      <c r="O703" s="31"/>
      <c r="P703" s="31"/>
      <c r="Q703" s="31"/>
      <c r="R703" s="31">
        <v>10.382849999999999</v>
      </c>
      <c r="S703" s="31"/>
      <c r="T703" s="31" t="s">
        <v>60</v>
      </c>
      <c r="U703" s="31" t="str">
        <f>LEFT(Table3[[#This Row],[Stage]],FIND(".",Table3[[#This Row],[Stage]],1)-1)</f>
        <v>10</v>
      </c>
      <c r="V703" s="31" t="str">
        <f>VLOOKUP(ABS(Table3[[#This Row],[Type]]),[1]!Table9[#All],2)</f>
        <v>Plumbing</v>
      </c>
    </row>
    <row r="704" spans="1:22" x14ac:dyDescent="0.45">
      <c r="A704" s="218">
        <v>44798</v>
      </c>
      <c r="B704" t="s">
        <v>760</v>
      </c>
      <c r="C704" s="34">
        <v>7.7</v>
      </c>
      <c r="D704" s="27" t="s">
        <v>489</v>
      </c>
      <c r="E704" t="s">
        <v>69</v>
      </c>
      <c r="F704" s="28"/>
      <c r="G704" s="214">
        <v>1</v>
      </c>
      <c r="H704" s="28">
        <v>880</v>
      </c>
      <c r="I704" s="28"/>
      <c r="J704" s="109">
        <f>(Table3[[#This Row],[QTY]]*Table3[[#This Row],[Supplies Cost]])+Table3[[#This Row],[Tax/Fees]]</f>
        <v>880</v>
      </c>
      <c r="L704" s="4" t="s">
        <v>92</v>
      </c>
      <c r="M704" s="1" t="s">
        <v>34</v>
      </c>
      <c r="N704" s="31"/>
      <c r="O704" s="31" t="s">
        <v>756</v>
      </c>
      <c r="P704" s="31"/>
      <c r="Q704" s="31"/>
      <c r="R704" s="31"/>
      <c r="S704" s="31"/>
      <c r="T704" s="31" t="s">
        <v>658</v>
      </c>
      <c r="U704" s="31" t="str">
        <f>LEFT(Table3[[#This Row],[Stage]],FIND(".",Table3[[#This Row],[Stage]],1)-1)</f>
        <v>7</v>
      </c>
      <c r="V704" s="31" t="str">
        <f>VLOOKUP(ABS(Table3[[#This Row],[Type]]),[1]!Table9[#All],2)</f>
        <v>Carpentry</v>
      </c>
    </row>
    <row r="705" spans="1:22" x14ac:dyDescent="0.45">
      <c r="A705" s="218">
        <v>44798</v>
      </c>
      <c r="B705" t="s">
        <v>761</v>
      </c>
      <c r="C705" s="57">
        <v>7.7</v>
      </c>
      <c r="D705" s="27" t="s">
        <v>489</v>
      </c>
      <c r="E705" t="s">
        <v>69</v>
      </c>
      <c r="F705" s="28"/>
      <c r="G705" s="214">
        <v>1</v>
      </c>
      <c r="H705" s="28">
        <f>6966-5418</f>
        <v>1548</v>
      </c>
      <c r="I705" s="28"/>
      <c r="J705" s="109">
        <f>(Table3[[#This Row],[QTY]]*Table3[[#This Row],[Supplies Cost]])+Table3[[#This Row],[Tax/Fees]]</f>
        <v>1548</v>
      </c>
      <c r="L705" s="4" t="s">
        <v>92</v>
      </c>
      <c r="M705" s="1" t="s">
        <v>34</v>
      </c>
      <c r="N705" s="31"/>
      <c r="O705" s="31" t="s">
        <v>756</v>
      </c>
      <c r="P705" s="31"/>
      <c r="Q705" s="31"/>
      <c r="R705" s="31"/>
      <c r="S705" s="31"/>
      <c r="T705" s="31" t="s">
        <v>658</v>
      </c>
      <c r="U705" s="31" t="str">
        <f>LEFT(Table3[[#This Row],[Stage]],FIND(".",Table3[[#This Row],[Stage]],1)-1)</f>
        <v>7</v>
      </c>
      <c r="V705" s="31" t="str">
        <f>VLOOKUP(ABS(Table3[[#This Row],[Type]]),[1]!Table9[#All],2)</f>
        <v>Carpentry</v>
      </c>
    </row>
    <row r="706" spans="1:22" x14ac:dyDescent="0.45">
      <c r="A706" s="218">
        <v>44798</v>
      </c>
      <c r="B706" t="s">
        <v>762</v>
      </c>
      <c r="C706" s="34">
        <v>25.1</v>
      </c>
      <c r="D706" s="27" t="s">
        <v>489</v>
      </c>
      <c r="E706" t="s">
        <v>69</v>
      </c>
      <c r="F706" s="28"/>
      <c r="G706" s="214">
        <v>1</v>
      </c>
      <c r="H706" s="28">
        <v>2430</v>
      </c>
      <c r="I706" s="28"/>
      <c r="J706" s="109">
        <f>(Table3[[#This Row],[QTY]]*Table3[[#This Row],[Supplies Cost]])+Table3[[#This Row],[Tax/Fees]]</f>
        <v>2430</v>
      </c>
      <c r="L706" s="4" t="s">
        <v>92</v>
      </c>
      <c r="M706" s="1" t="s">
        <v>34</v>
      </c>
      <c r="N706" s="31"/>
      <c r="O706" s="31" t="s">
        <v>756</v>
      </c>
      <c r="P706" s="31"/>
      <c r="Q706" s="31"/>
      <c r="R706" s="31"/>
      <c r="S706" s="31"/>
      <c r="T706" s="31" t="s">
        <v>568</v>
      </c>
      <c r="U706" s="31" t="str">
        <f>LEFT(Table3[[#This Row],[Stage]],FIND(".",Table3[[#This Row],[Stage]],1)-1)</f>
        <v>25</v>
      </c>
      <c r="V706" s="31" t="str">
        <f>VLOOKUP(ABS(Table3[[#This Row],[Type]]),[1]!Table9[#All],2)</f>
        <v>Tiling</v>
      </c>
    </row>
    <row r="707" spans="1:22" x14ac:dyDescent="0.45">
      <c r="A707" s="218">
        <v>44798</v>
      </c>
      <c r="B707" t="s">
        <v>763</v>
      </c>
      <c r="C707" s="34">
        <v>25.1</v>
      </c>
      <c r="D707" s="27" t="s">
        <v>489</v>
      </c>
      <c r="E707" t="s">
        <v>69</v>
      </c>
      <c r="F707" s="28"/>
      <c r="G707" s="214">
        <v>1</v>
      </c>
      <c r="H707" s="28">
        <v>760</v>
      </c>
      <c r="I707" s="28"/>
      <c r="J707" s="109">
        <f>(Table3[[#This Row],[QTY]]*Table3[[#This Row],[Supplies Cost]])+Table3[[#This Row],[Tax/Fees]]</f>
        <v>760</v>
      </c>
      <c r="K707" s="203">
        <v>9488</v>
      </c>
      <c r="L707" s="4" t="s">
        <v>33</v>
      </c>
      <c r="M707" s="1" t="s">
        <v>34</v>
      </c>
      <c r="N707" s="31"/>
      <c r="O707" s="31" t="s">
        <v>756</v>
      </c>
      <c r="P707" s="31"/>
      <c r="Q707" s="31"/>
      <c r="R707" s="31">
        <v>25.135000000000002</v>
      </c>
      <c r="S707" s="31"/>
      <c r="T707" s="31" t="s">
        <v>568</v>
      </c>
      <c r="U707" s="31" t="str">
        <f>LEFT(Table3[[#This Row],[Stage]],FIND(".",Table3[[#This Row],[Stage]],1)-1)</f>
        <v>25</v>
      </c>
      <c r="V707" s="31" t="str">
        <f>VLOOKUP(ABS(Table3[[#This Row],[Type]]),[1]!Table9[#All],2)</f>
        <v>Tiling</v>
      </c>
    </row>
    <row r="708" spans="1:22" ht="30.75" x14ac:dyDescent="0.45">
      <c r="A708" s="218">
        <v>44798</v>
      </c>
      <c r="B708" t="s">
        <v>764</v>
      </c>
      <c r="C708" s="34">
        <v>13.4</v>
      </c>
      <c r="D708" s="27" t="s">
        <v>489</v>
      </c>
      <c r="E708" t="s">
        <v>69</v>
      </c>
      <c r="F708" s="28"/>
      <c r="G708" s="214">
        <v>1</v>
      </c>
      <c r="H708" s="28">
        <v>29.4</v>
      </c>
      <c r="I708" s="28"/>
      <c r="J708" s="109">
        <f>(Table3[[#This Row],[QTY]]*Table3[[#This Row],[Supplies Cost]])+Table3[[#This Row],[Tax/Fees]]</f>
        <v>29.4</v>
      </c>
      <c r="L708" s="4" t="s">
        <v>92</v>
      </c>
      <c r="M708" s="1" t="s">
        <v>47</v>
      </c>
      <c r="N708" s="31"/>
      <c r="O708" s="31" t="s">
        <v>765</v>
      </c>
      <c r="P708" s="31"/>
      <c r="Q708" s="31"/>
      <c r="R708" s="31"/>
      <c r="S708" s="31"/>
      <c r="T708" s="31" t="s">
        <v>181</v>
      </c>
      <c r="U708" s="31" t="str">
        <f>LEFT(Table3[[#This Row],[Stage]],FIND(".",Table3[[#This Row],[Stage]],1)-1)</f>
        <v>13</v>
      </c>
      <c r="V708" s="31" t="str">
        <f>VLOOKUP(ABS(Table3[[#This Row],[Type]]),[1]!Table9[#All],2)</f>
        <v>Electrical</v>
      </c>
    </row>
    <row r="709" spans="1:22" ht="30.75" x14ac:dyDescent="0.45">
      <c r="A709" s="218">
        <v>44798</v>
      </c>
      <c r="B709" t="s">
        <v>766</v>
      </c>
      <c r="C709" s="34">
        <v>13.4</v>
      </c>
      <c r="D709" s="27" t="s">
        <v>489</v>
      </c>
      <c r="E709" t="s">
        <v>69</v>
      </c>
      <c r="F709" s="28"/>
      <c r="G709" s="214">
        <v>1</v>
      </c>
      <c r="H709" s="28">
        <v>101.64</v>
      </c>
      <c r="I709" s="28">
        <v>17.786999999999999</v>
      </c>
      <c r="J709" s="109">
        <v>119.42699999999999</v>
      </c>
      <c r="K709" s="203">
        <v>1605.64</v>
      </c>
      <c r="L709" s="4" t="s">
        <v>33</v>
      </c>
      <c r="M709" s="1" t="s">
        <v>47</v>
      </c>
      <c r="N709" s="31"/>
      <c r="O709" s="31" t="s">
        <v>765</v>
      </c>
      <c r="P709" s="31">
        <v>13.484999999999999</v>
      </c>
      <c r="Q709" s="31"/>
      <c r="R709" s="31"/>
      <c r="S709" s="31" t="s">
        <v>767</v>
      </c>
      <c r="T709" s="31" t="s">
        <v>181</v>
      </c>
      <c r="U709" s="31" t="str">
        <f>LEFT(Table3[[#This Row],[Stage]],FIND(".",Table3[[#This Row],[Stage]],1)-1)</f>
        <v>13</v>
      </c>
      <c r="V709" s="31" t="str">
        <f>VLOOKUP(ABS(Table3[[#This Row],[Type]]),[1]!Table9[#All],2)</f>
        <v>Electrical</v>
      </c>
    </row>
    <row r="710" spans="1:22" ht="30.75" x14ac:dyDescent="0.45">
      <c r="A710" s="218">
        <v>44798</v>
      </c>
      <c r="B710" t="s">
        <v>768</v>
      </c>
      <c r="C710" s="34">
        <v>13.4</v>
      </c>
      <c r="D710" s="90" t="s">
        <v>489</v>
      </c>
      <c r="E710" t="s">
        <v>69</v>
      </c>
      <c r="F710" s="28"/>
      <c r="G710" s="214">
        <v>1</v>
      </c>
      <c r="H710" s="28">
        <v>184.13</v>
      </c>
      <c r="I710" s="28"/>
      <c r="J710" s="109">
        <f>(Table3[[#This Row],[QTY]]*Table3[[#This Row],[Supplies Cost]])+Table3[[#This Row],[Tax/Fees]]</f>
        <v>184.13</v>
      </c>
      <c r="L710" s="4" t="s">
        <v>92</v>
      </c>
      <c r="M710" s="1" t="s">
        <v>47</v>
      </c>
      <c r="N710" s="31"/>
      <c r="O710" s="31" t="s">
        <v>765</v>
      </c>
      <c r="P710" s="31"/>
      <c r="Q710" s="31"/>
      <c r="R710" s="31"/>
      <c r="S710" s="31"/>
      <c r="T710" s="31" t="s">
        <v>181</v>
      </c>
      <c r="U710" s="31" t="str">
        <f>LEFT(Table3[[#This Row],[Stage]],FIND(".",Table3[[#This Row],[Stage]],1)-1)</f>
        <v>13</v>
      </c>
      <c r="V710" s="31" t="str">
        <f>VLOOKUP(ABS(Table3[[#This Row],[Type]]),[1]!Table9[#All],2)</f>
        <v>Electrical</v>
      </c>
    </row>
    <row r="711" spans="1:22" ht="30.75" x14ac:dyDescent="0.45">
      <c r="A711" s="218">
        <v>44798</v>
      </c>
      <c r="B711" t="s">
        <v>769</v>
      </c>
      <c r="C711" s="34">
        <v>13.4</v>
      </c>
      <c r="D711" s="27" t="s">
        <v>489</v>
      </c>
      <c r="E711" t="s">
        <v>69</v>
      </c>
      <c r="F711" s="28"/>
      <c r="G711" s="214">
        <v>1</v>
      </c>
      <c r="H711" s="28">
        <v>89.57</v>
      </c>
      <c r="I711" s="28"/>
      <c r="J711" s="109">
        <f>(Table3[[#This Row],[QTY]]*Table3[[#This Row],[Supplies Cost]])+Table3[[#This Row],[Tax/Fees]]</f>
        <v>89.57</v>
      </c>
      <c r="L711" s="4" t="s">
        <v>92</v>
      </c>
      <c r="M711" s="1" t="s">
        <v>47</v>
      </c>
      <c r="N711" s="31"/>
      <c r="O711" s="31" t="s">
        <v>765</v>
      </c>
      <c r="P711" s="31"/>
      <c r="Q711" s="31"/>
      <c r="R711" s="31"/>
      <c r="S711" s="31"/>
      <c r="T711" s="31" t="s">
        <v>181</v>
      </c>
      <c r="U711" s="31" t="str">
        <f>LEFT(Table3[[#This Row],[Stage]],FIND(".",Table3[[#This Row],[Stage]],1)-1)</f>
        <v>13</v>
      </c>
      <c r="V711" s="31" t="str">
        <f>VLOOKUP(ABS(Table3[[#This Row],[Type]]),[1]!Table9[#All],2)</f>
        <v>Electrical</v>
      </c>
    </row>
    <row r="712" spans="1:22" ht="30.75" x14ac:dyDescent="0.45">
      <c r="A712" s="218">
        <v>44798</v>
      </c>
      <c r="B712" t="s">
        <v>770</v>
      </c>
      <c r="C712" s="34">
        <v>13.4</v>
      </c>
      <c r="D712" s="27" t="s">
        <v>489</v>
      </c>
      <c r="E712" t="s">
        <v>69</v>
      </c>
      <c r="F712" s="28"/>
      <c r="G712" s="214">
        <v>1</v>
      </c>
      <c r="H712" s="28">
        <v>75.55</v>
      </c>
      <c r="I712" s="28"/>
      <c r="J712" s="109">
        <f>(Table3[[#This Row],[QTY]]*Table3[[#This Row],[Supplies Cost]])+Table3[[#This Row],[Tax/Fees]]</f>
        <v>75.55</v>
      </c>
      <c r="L712" s="4" t="s">
        <v>92</v>
      </c>
      <c r="M712" s="1" t="s">
        <v>47</v>
      </c>
      <c r="N712" s="31"/>
      <c r="O712" s="31" t="s">
        <v>765</v>
      </c>
      <c r="P712" s="31"/>
      <c r="Q712" s="31"/>
      <c r="R712" s="31"/>
      <c r="S712" s="31"/>
      <c r="T712" s="31" t="s">
        <v>181</v>
      </c>
      <c r="U712" s="31" t="str">
        <f>LEFT(Table3[[#This Row],[Stage]],FIND(".",Table3[[#This Row],[Stage]],1)-1)</f>
        <v>13</v>
      </c>
      <c r="V712" s="31" t="str">
        <f>VLOOKUP(ABS(Table3[[#This Row],[Type]]),[1]!Table9[#All],2)</f>
        <v>Electrical</v>
      </c>
    </row>
    <row r="713" spans="1:22" ht="30.75" x14ac:dyDescent="0.45">
      <c r="A713" s="218">
        <v>44798</v>
      </c>
      <c r="B713" t="s">
        <v>771</v>
      </c>
      <c r="C713" s="34">
        <v>13.4</v>
      </c>
      <c r="D713" s="27" t="s">
        <v>489</v>
      </c>
      <c r="E713" t="s">
        <v>69</v>
      </c>
      <c r="F713" s="28"/>
      <c r="G713" s="214">
        <v>1</v>
      </c>
      <c r="H713" s="28">
        <v>51.17</v>
      </c>
      <c r="I713" s="28"/>
      <c r="J713" s="109">
        <f>(Table3[[#This Row],[QTY]]*Table3[[#This Row],[Supplies Cost]])+Table3[[#This Row],[Tax/Fees]]</f>
        <v>51.17</v>
      </c>
      <c r="L713" s="4" t="s">
        <v>92</v>
      </c>
      <c r="M713" s="1" t="s">
        <v>47</v>
      </c>
      <c r="N713" s="31"/>
      <c r="O713" s="31" t="s">
        <v>765</v>
      </c>
      <c r="P713" s="31"/>
      <c r="Q713" s="31"/>
      <c r="R713" s="31"/>
      <c r="S713" s="31"/>
      <c r="T713" s="31" t="s">
        <v>181</v>
      </c>
      <c r="U713" s="31" t="str">
        <f>LEFT(Table3[[#This Row],[Stage]],FIND(".",Table3[[#This Row],[Stage]],1)-1)</f>
        <v>13</v>
      </c>
      <c r="V713" s="31" t="str">
        <f>VLOOKUP(ABS(Table3[[#This Row],[Type]]),[1]!Table9[#All],2)</f>
        <v>Electrical</v>
      </c>
    </row>
    <row r="714" spans="1:22" ht="30.75" x14ac:dyDescent="0.45">
      <c r="A714" s="218">
        <v>44798</v>
      </c>
      <c r="B714" t="s">
        <v>772</v>
      </c>
      <c r="C714" s="34">
        <v>13.4</v>
      </c>
      <c r="D714" s="27" t="s">
        <v>489</v>
      </c>
      <c r="E714" t="s">
        <v>69</v>
      </c>
      <c r="F714" s="28"/>
      <c r="G714" s="214">
        <v>1</v>
      </c>
      <c r="H714" s="28">
        <v>60</v>
      </c>
      <c r="I714" s="28"/>
      <c r="J714" s="109">
        <f>(Table3[[#This Row],[QTY]]*Table3[[#This Row],[Supplies Cost]])+Table3[[#This Row],[Tax/Fees]]</f>
        <v>60</v>
      </c>
      <c r="L714" s="4" t="s">
        <v>92</v>
      </c>
      <c r="M714" s="1" t="s">
        <v>47</v>
      </c>
      <c r="N714" s="31"/>
      <c r="O714" s="31" t="s">
        <v>765</v>
      </c>
      <c r="P714" s="31"/>
      <c r="Q714" s="31"/>
      <c r="R714" s="31"/>
      <c r="S714" s="31"/>
      <c r="T714" s="31" t="s">
        <v>181</v>
      </c>
      <c r="U714" s="31" t="str">
        <f>LEFT(Table3[[#This Row],[Stage]],FIND(".",Table3[[#This Row],[Stage]],1)-1)</f>
        <v>13</v>
      </c>
      <c r="V714" s="31" t="str">
        <f>VLOOKUP(ABS(Table3[[#This Row],[Type]]),[1]!Table9[#All],2)</f>
        <v>Electrical</v>
      </c>
    </row>
    <row r="715" spans="1:22" ht="30.75" x14ac:dyDescent="0.45">
      <c r="A715" s="218">
        <v>44798</v>
      </c>
      <c r="B715" t="s">
        <v>773</v>
      </c>
      <c r="C715" s="34">
        <v>13.4</v>
      </c>
      <c r="D715" s="27" t="s">
        <v>489</v>
      </c>
      <c r="E715" t="s">
        <v>69</v>
      </c>
      <c r="F715" s="28"/>
      <c r="G715" s="214">
        <v>1</v>
      </c>
      <c r="H715" s="28">
        <v>190.8</v>
      </c>
      <c r="I715" s="28"/>
      <c r="J715" s="109">
        <f>(Table3[[#This Row],[QTY]]*Table3[[#This Row],[Supplies Cost]])+Table3[[#This Row],[Tax/Fees]]</f>
        <v>190.8</v>
      </c>
      <c r="L715" s="4" t="s">
        <v>92</v>
      </c>
      <c r="M715" s="1" t="s">
        <v>47</v>
      </c>
      <c r="N715" s="31"/>
      <c r="O715" s="31" t="s">
        <v>765</v>
      </c>
      <c r="P715" s="31"/>
      <c r="Q715" s="31"/>
      <c r="R715" s="31"/>
      <c r="S715" s="31"/>
      <c r="T715" s="31" t="s">
        <v>181</v>
      </c>
      <c r="U715" s="31" t="str">
        <f>LEFT(Table3[[#This Row],[Stage]],FIND(".",Table3[[#This Row],[Stage]],1)-1)</f>
        <v>13</v>
      </c>
      <c r="V715" s="31" t="str">
        <f>VLOOKUP(ABS(Table3[[#This Row],[Type]]),[1]!Table9[#All],2)</f>
        <v>Electrical</v>
      </c>
    </row>
    <row r="716" spans="1:22" ht="30.75" x14ac:dyDescent="0.45">
      <c r="A716" s="218">
        <v>44798</v>
      </c>
      <c r="B716" t="s">
        <v>773</v>
      </c>
      <c r="C716" s="34">
        <v>13.4</v>
      </c>
      <c r="D716" s="27" t="s">
        <v>489</v>
      </c>
      <c r="E716" t="s">
        <v>69</v>
      </c>
      <c r="F716" s="28"/>
      <c r="G716" s="214">
        <v>1</v>
      </c>
      <c r="H716" s="28">
        <v>453.21</v>
      </c>
      <c r="I716" s="28"/>
      <c r="J716" s="109">
        <f>(Table3[[#This Row],[QTY]]*Table3[[#This Row],[Supplies Cost]])+Table3[[#This Row],[Tax/Fees]]</f>
        <v>453.21</v>
      </c>
      <c r="L716" s="4" t="s">
        <v>92</v>
      </c>
      <c r="M716" s="1" t="s">
        <v>47</v>
      </c>
      <c r="N716" s="31"/>
      <c r="O716" s="31" t="s">
        <v>765</v>
      </c>
      <c r="P716" s="31"/>
      <c r="Q716" s="31"/>
      <c r="R716" s="31"/>
      <c r="S716" s="31"/>
      <c r="T716" s="31" t="s">
        <v>181</v>
      </c>
      <c r="U716" s="31" t="str">
        <f>LEFT(Table3[[#This Row],[Stage]],FIND(".",Table3[[#This Row],[Stage]],1)-1)</f>
        <v>13</v>
      </c>
      <c r="V716" s="31" t="str">
        <f>VLOOKUP(ABS(Table3[[#This Row],[Type]]),[1]!Table9[#All],2)</f>
        <v>Electrical</v>
      </c>
    </row>
    <row r="717" spans="1:22" ht="30.75" x14ac:dyDescent="0.45">
      <c r="A717" s="218">
        <v>44798</v>
      </c>
      <c r="B717" t="s">
        <v>774</v>
      </c>
      <c r="C717" s="34">
        <v>13.4</v>
      </c>
      <c r="D717" s="27" t="s">
        <v>489</v>
      </c>
      <c r="E717" t="s">
        <v>69</v>
      </c>
      <c r="F717" s="28"/>
      <c r="G717" s="214">
        <v>1</v>
      </c>
      <c r="H717" s="28">
        <v>352.38</v>
      </c>
      <c r="I717" s="28"/>
      <c r="J717" s="109">
        <f>(Table3[[#This Row],[QTY]]*Table3[[#This Row],[Supplies Cost]])+Table3[[#This Row],[Tax/Fees]]</f>
        <v>352.38</v>
      </c>
      <c r="L717" s="4" t="s">
        <v>92</v>
      </c>
      <c r="M717" s="1" t="s">
        <v>47</v>
      </c>
      <c r="N717" s="31"/>
      <c r="O717" s="31" t="s">
        <v>765</v>
      </c>
      <c r="P717" s="31"/>
      <c r="Q717" s="31"/>
      <c r="R717" s="31"/>
      <c r="S717" s="31"/>
      <c r="T717" s="31" t="s">
        <v>181</v>
      </c>
      <c r="U717" s="31" t="str">
        <f>LEFT(Table3[[#This Row],[Stage]],FIND(".",Table3[[#This Row],[Stage]],1)-1)</f>
        <v>13</v>
      </c>
      <c r="V717" s="31" t="str">
        <f>VLOOKUP(ABS(Table3[[#This Row],[Type]]),[1]!Table9[#All],2)</f>
        <v>Electrical</v>
      </c>
    </row>
    <row r="718" spans="1:22" ht="30.75" x14ac:dyDescent="0.45">
      <c r="A718" s="218">
        <v>44798</v>
      </c>
      <c r="B718" t="s">
        <v>147</v>
      </c>
      <c r="C718" s="34">
        <v>13.4</v>
      </c>
      <c r="D718" s="27" t="s">
        <v>399</v>
      </c>
      <c r="E718" t="s">
        <v>69</v>
      </c>
      <c r="F718" s="28"/>
      <c r="G718" s="214">
        <v>1</v>
      </c>
      <c r="H718" s="28">
        <v>342.34</v>
      </c>
      <c r="I718" s="28"/>
      <c r="J718" s="109">
        <f>(Table3[[#This Row],[QTY]]*Table3[[#This Row],[Supplies Cost]])+Table3[[#This Row],[Tax/Fees]]</f>
        <v>342.34</v>
      </c>
      <c r="L718" s="4" t="s">
        <v>92</v>
      </c>
      <c r="M718" s="1" t="s">
        <v>47</v>
      </c>
      <c r="N718" s="31"/>
      <c r="O718" s="31" t="s">
        <v>752</v>
      </c>
      <c r="P718" s="31"/>
      <c r="Q718" s="31"/>
      <c r="R718" s="31"/>
      <c r="S718" s="31"/>
      <c r="T718" s="31" t="s">
        <v>400</v>
      </c>
      <c r="U718" s="31" t="str">
        <f>LEFT(Table3[[#This Row],[Stage]],FIND(".",Table3[[#This Row],[Stage]],1)-1)</f>
        <v>13</v>
      </c>
      <c r="V718" s="31" t="str">
        <f>VLOOKUP(ABS(Table3[[#This Row],[Type]]),[1]!Table9[#All],2)</f>
        <v>Electrical</v>
      </c>
    </row>
    <row r="719" spans="1:22" x14ac:dyDescent="0.45">
      <c r="A719" s="225">
        <v>44805</v>
      </c>
      <c r="B719" s="129" t="s">
        <v>688</v>
      </c>
      <c r="C719" s="141">
        <v>3.06</v>
      </c>
      <c r="D719" s="142" t="s">
        <v>520</v>
      </c>
      <c r="E719" s="129" t="s">
        <v>71</v>
      </c>
      <c r="F719" s="145"/>
      <c r="G719" s="193">
        <v>1</v>
      </c>
      <c r="H719" s="145">
        <v>84.27</v>
      </c>
      <c r="I719" s="58"/>
      <c r="J719" s="109">
        <f>(Table3[[#This Row],[QTY]]*Table3[[#This Row],[Supplies Cost]])+Table3[[#This Row],[Tax/Fees]]</f>
        <v>84.27</v>
      </c>
      <c r="L719" s="4" t="s">
        <v>33</v>
      </c>
      <c r="M719" s="1" t="s">
        <v>47</v>
      </c>
      <c r="N719" s="40"/>
      <c r="O719" s="31"/>
      <c r="P719" s="40"/>
      <c r="Q719" s="40"/>
      <c r="R719" s="40">
        <v>3.069</v>
      </c>
      <c r="S719" s="40"/>
      <c r="T719" s="31" t="s">
        <v>672</v>
      </c>
      <c r="U719" s="40" t="str">
        <f>LEFT(Table3[[#This Row],[Stage]],FIND(".",Table3[[#This Row],[Stage]],1)-1)</f>
        <v>3</v>
      </c>
      <c r="V719" s="40" t="str">
        <f>VLOOKUP(ABS(Table3[[#This Row],[Type]]),[1]!Table9[#All],2)</f>
        <v>Masonary</v>
      </c>
    </row>
    <row r="720" spans="1:22" ht="30.75" x14ac:dyDescent="0.45">
      <c r="A720" s="198">
        <v>44807</v>
      </c>
      <c r="B720" s="129" t="s">
        <v>775</v>
      </c>
      <c r="C720" s="141">
        <v>13.4</v>
      </c>
      <c r="D720" s="142" t="s">
        <v>489</v>
      </c>
      <c r="E720" s="129" t="s">
        <v>776</v>
      </c>
      <c r="F720" s="145"/>
      <c r="G720" s="193">
        <v>1</v>
      </c>
      <c r="H720" s="145">
        <v>327.10000000000002</v>
      </c>
      <c r="I720" s="28"/>
      <c r="J720" s="109">
        <f>(Table3[[#This Row],[QTY]]*Table3[[#This Row],[Supplies Cost]])+Table3[[#This Row],[Tax/Fees]]</f>
        <v>327.10000000000002</v>
      </c>
      <c r="L720" s="4" t="s">
        <v>33</v>
      </c>
      <c r="M720" s="1" t="s">
        <v>47</v>
      </c>
      <c r="N720" s="40"/>
      <c r="O720" s="31"/>
      <c r="P720" s="40"/>
      <c r="Q720" s="40"/>
      <c r="R720" s="40">
        <v>13.494999999999999</v>
      </c>
      <c r="S720" s="40"/>
      <c r="T720" s="31" t="s">
        <v>181</v>
      </c>
      <c r="U720" s="40" t="str">
        <f>LEFT(Table3[[#This Row],[Stage]],FIND(".",Table3[[#This Row],[Stage]],1)-1)</f>
        <v>13</v>
      </c>
      <c r="V720" s="40" t="str">
        <f>VLOOKUP(ABS(Table3[[#This Row],[Type]]),[1]!Table9[#All],2)</f>
        <v>Electrical</v>
      </c>
    </row>
    <row r="721" spans="1:22" x14ac:dyDescent="0.45">
      <c r="A721" s="198">
        <v>44807</v>
      </c>
      <c r="B721" s="129" t="s">
        <v>777</v>
      </c>
      <c r="C721" s="130">
        <v>25.1</v>
      </c>
      <c r="D721" s="131" t="s">
        <v>489</v>
      </c>
      <c r="E721" s="129" t="s">
        <v>590</v>
      </c>
      <c r="F721" s="145"/>
      <c r="G721" s="193">
        <v>1</v>
      </c>
      <c r="H721" s="145">
        <v>74.59</v>
      </c>
      <c r="I721" s="28"/>
      <c r="J721" s="109">
        <f>(Table3[[#This Row],[QTY]]*Table3[[#This Row],[Supplies Cost]])+Table3[[#This Row],[Tax/Fees]]</f>
        <v>74.59</v>
      </c>
      <c r="L721" s="4" t="s">
        <v>33</v>
      </c>
      <c r="M721" s="1" t="s">
        <v>47</v>
      </c>
      <c r="N721" s="40"/>
      <c r="O721" s="40"/>
      <c r="P721" s="40"/>
      <c r="Q721" s="40"/>
      <c r="R721" s="40">
        <v>25.11</v>
      </c>
      <c r="S721" s="40"/>
      <c r="T721" s="40" t="s">
        <v>568</v>
      </c>
      <c r="U721" s="40" t="str">
        <f>LEFT(Table3[[#This Row],[Stage]],FIND(".",Table3[[#This Row],[Stage]],1)-1)</f>
        <v>25</v>
      </c>
      <c r="V721" s="40" t="str">
        <f>VLOOKUP(ABS(Table3[[#This Row],[Type]]),[1]!Table9[#All],2)</f>
        <v>Tiling</v>
      </c>
    </row>
    <row r="722" spans="1:22" x14ac:dyDescent="0.45">
      <c r="A722" s="198">
        <v>44807</v>
      </c>
      <c r="B722" s="129" t="s">
        <v>778</v>
      </c>
      <c r="C722" s="141">
        <v>25.1</v>
      </c>
      <c r="D722" s="142" t="s">
        <v>489</v>
      </c>
      <c r="E722" s="129" t="s">
        <v>619</v>
      </c>
      <c r="F722" s="145"/>
      <c r="G722" s="193">
        <v>1</v>
      </c>
      <c r="H722" s="145">
        <v>38.25</v>
      </c>
      <c r="I722" s="58"/>
      <c r="J722" s="109">
        <f>(Table3[[#This Row],[QTY]]*Table3[[#This Row],[Supplies Cost]])+Table3[[#This Row],[Tax/Fees]]</f>
        <v>38.25</v>
      </c>
      <c r="L722" s="4" t="s">
        <v>33</v>
      </c>
      <c r="M722" s="1" t="s">
        <v>47</v>
      </c>
      <c r="N722" s="40"/>
      <c r="O722" s="40"/>
      <c r="P722" s="40"/>
      <c r="Q722" s="40"/>
      <c r="R722" s="40">
        <v>25.110499999999998</v>
      </c>
      <c r="S722" s="40"/>
      <c r="T722" s="31" t="s">
        <v>568</v>
      </c>
      <c r="U722" s="40" t="str">
        <f>LEFT(Table3[[#This Row],[Stage]],FIND(".",Table3[[#This Row],[Stage]],1)-1)</f>
        <v>25</v>
      </c>
      <c r="V722" s="40" t="str">
        <f>VLOOKUP(ABS(Table3[[#This Row],[Type]]),[1]!Table9[#All],2)</f>
        <v>Tiling</v>
      </c>
    </row>
    <row r="723" spans="1:22" x14ac:dyDescent="0.45">
      <c r="A723" s="55">
        <v>44810</v>
      </c>
      <c r="B723" t="s">
        <v>779</v>
      </c>
      <c r="C723" s="34">
        <v>4.0999999999999996</v>
      </c>
      <c r="D723" s="27" t="s">
        <v>358</v>
      </c>
      <c r="E723" t="s">
        <v>69</v>
      </c>
      <c r="F723" s="58"/>
      <c r="G723" s="214">
        <v>1</v>
      </c>
      <c r="H723" s="58">
        <v>1275</v>
      </c>
      <c r="I723" s="58"/>
      <c r="J723" s="109">
        <f>(Table3[[#This Row],[QTY]]*Table3[[#This Row],[Supplies Cost]])+Table3[[#This Row],[Tax/Fees]]</f>
        <v>1275</v>
      </c>
      <c r="L723" s="4" t="s">
        <v>92</v>
      </c>
      <c r="M723" s="1" t="s">
        <v>34</v>
      </c>
      <c r="N723" s="40"/>
      <c r="O723" s="40" t="s">
        <v>780</v>
      </c>
      <c r="P723" s="40"/>
      <c r="Q723" s="40"/>
      <c r="R723" s="40"/>
      <c r="S723" s="40"/>
      <c r="T723" s="40" t="s">
        <v>359</v>
      </c>
      <c r="U723" s="40" t="str">
        <f>LEFT(Table3[[#This Row],[Stage]],FIND(".",Table3[[#This Row],[Stage]],1)-1)</f>
        <v>4</v>
      </c>
      <c r="V723" s="40" t="str">
        <f>VLOOKUP(ABS(Table3[[#This Row],[Type]]),[1]!Table9[#All],2)</f>
        <v>HVAC</v>
      </c>
    </row>
    <row r="724" spans="1:22" x14ac:dyDescent="0.45">
      <c r="A724" s="218">
        <v>44810</v>
      </c>
      <c r="B724" t="s">
        <v>151</v>
      </c>
      <c r="C724" s="141">
        <v>8.0399999999999991</v>
      </c>
      <c r="D724" s="142" t="s">
        <v>489</v>
      </c>
      <c r="E724" t="s">
        <v>46</v>
      </c>
      <c r="F724" s="28"/>
      <c r="G724" s="214">
        <v>1</v>
      </c>
      <c r="H724" s="28">
        <v>74.23</v>
      </c>
      <c r="I724" s="28"/>
      <c r="J724" s="109">
        <f>(Table3[[#This Row],[QTY]]*Table3[[#This Row],[Supplies Cost]])+Table3[[#This Row],[Tax/Fees]]</f>
        <v>74.23</v>
      </c>
      <c r="L724" s="4" t="s">
        <v>33</v>
      </c>
      <c r="M724" s="1" t="s">
        <v>77</v>
      </c>
      <c r="N724" s="31"/>
      <c r="O724" s="31"/>
      <c r="P724" s="31"/>
      <c r="Q724" s="31"/>
      <c r="R724" s="31">
        <v>8.0410000000000004</v>
      </c>
      <c r="S724" s="31"/>
      <c r="T724" s="31" t="s">
        <v>60</v>
      </c>
      <c r="U724" s="31" t="str">
        <f>LEFT(Table3[[#This Row],[Stage]],FIND(".",Table3[[#This Row],[Stage]],1)-1)</f>
        <v>8</v>
      </c>
      <c r="V724" s="31" t="str">
        <f>VLOOKUP(ABS(Table3[[#This Row],[Type]]),[1]!Table9[#All],2)</f>
        <v>Administrative</v>
      </c>
    </row>
    <row r="725" spans="1:22" x14ac:dyDescent="0.45">
      <c r="A725" s="218">
        <v>44810</v>
      </c>
      <c r="B725" t="s">
        <v>781</v>
      </c>
      <c r="C725" s="34">
        <v>7.7</v>
      </c>
      <c r="D725" s="27" t="s">
        <v>489</v>
      </c>
      <c r="E725" t="s">
        <v>69</v>
      </c>
      <c r="F725" s="28"/>
      <c r="G725" s="214">
        <v>1</v>
      </c>
      <c r="H725" s="28">
        <v>4815</v>
      </c>
      <c r="I725" s="28"/>
      <c r="J725" s="109">
        <f>(Table3[[#This Row],[QTY]]*Table3[[#This Row],[Supplies Cost]])+Table3[[#This Row],[Tax/Fees]]</f>
        <v>4815</v>
      </c>
      <c r="L725" s="4" t="s">
        <v>92</v>
      </c>
      <c r="M725" s="1" t="s">
        <v>34</v>
      </c>
      <c r="N725" s="31"/>
      <c r="O725" s="31" t="s">
        <v>780</v>
      </c>
      <c r="P725" s="31"/>
      <c r="Q725" s="31"/>
      <c r="R725" s="31"/>
      <c r="S725" s="31"/>
      <c r="T725" s="31" t="s">
        <v>698</v>
      </c>
      <c r="U725" s="31" t="str">
        <f>LEFT(Table3[[#This Row],[Stage]],FIND(".",Table3[[#This Row],[Stage]],1)-1)</f>
        <v>7</v>
      </c>
      <c r="V725" s="31" t="str">
        <f>VLOOKUP(ABS(Table3[[#This Row],[Type]]),[1]!Table9[#All],2)</f>
        <v>Carpentry</v>
      </c>
    </row>
    <row r="726" spans="1:22" x14ac:dyDescent="0.45">
      <c r="A726" s="55">
        <v>44810</v>
      </c>
      <c r="B726" t="s">
        <v>782</v>
      </c>
      <c r="C726" s="34">
        <v>13.4</v>
      </c>
      <c r="D726" s="27" t="s">
        <v>489</v>
      </c>
      <c r="E726" t="s">
        <v>69</v>
      </c>
      <c r="F726" s="28"/>
      <c r="G726" s="214">
        <v>1</v>
      </c>
      <c r="H726" s="28">
        <f>8143-4790</f>
        <v>3353</v>
      </c>
      <c r="I726" s="28"/>
      <c r="J726" s="109">
        <f>(Table3[[#This Row],[QTY]]*Table3[[#This Row],[Supplies Cost]])+Table3[[#This Row],[Tax/Fees]]</f>
        <v>3353</v>
      </c>
      <c r="K726" s="203">
        <v>12513</v>
      </c>
      <c r="L726" s="4" t="s">
        <v>33</v>
      </c>
      <c r="M726" s="1" t="s">
        <v>34</v>
      </c>
      <c r="N726" s="31"/>
      <c r="O726" s="31" t="s">
        <v>780</v>
      </c>
      <c r="P726" s="31"/>
      <c r="Q726" s="31"/>
      <c r="R726" s="31">
        <v>13.414</v>
      </c>
      <c r="S726" s="31"/>
      <c r="T726" s="31" t="s">
        <v>719</v>
      </c>
      <c r="U726" s="31" t="str">
        <f>LEFT(Table3[[#This Row],[Stage]],FIND(".",Table3[[#This Row],[Stage]],1)-1)</f>
        <v>13</v>
      </c>
      <c r="V726" s="31" t="str">
        <f>VLOOKUP(ABS(Table3[[#This Row],[Type]]),[1]!Table9[#All],2)</f>
        <v>Electrical</v>
      </c>
    </row>
    <row r="727" spans="1:22" x14ac:dyDescent="0.45">
      <c r="A727" s="55">
        <v>44810</v>
      </c>
      <c r="B727" t="s">
        <v>783</v>
      </c>
      <c r="C727" s="34">
        <v>10.38</v>
      </c>
      <c r="D727" s="40" t="s">
        <v>399</v>
      </c>
      <c r="E727" t="s">
        <v>69</v>
      </c>
      <c r="F727" s="28"/>
      <c r="G727" s="214">
        <v>1</v>
      </c>
      <c r="H727" s="28">
        <v>660</v>
      </c>
      <c r="I727" s="28"/>
      <c r="J727" s="109">
        <f>(Table3[[#This Row],[QTY]]*Table3[[#This Row],[Supplies Cost]])+Table3[[#This Row],[Tax/Fees]]</f>
        <v>660</v>
      </c>
      <c r="L727" s="4" t="s">
        <v>92</v>
      </c>
      <c r="M727" s="1" t="s">
        <v>34</v>
      </c>
      <c r="N727" s="31"/>
      <c r="O727" s="31" t="s">
        <v>780</v>
      </c>
      <c r="P727" s="31"/>
      <c r="Q727" s="31"/>
      <c r="R727" s="31"/>
      <c r="S727" s="31"/>
      <c r="T727" s="31" t="s">
        <v>50</v>
      </c>
      <c r="U727" s="31" t="str">
        <f>LEFT(Table3[[#This Row],[Stage]],FIND(".",Table3[[#This Row],[Stage]],1)-1)</f>
        <v>10</v>
      </c>
      <c r="V727" s="31" t="str">
        <f>VLOOKUP(ABS(Table3[[#This Row],[Type]]),[1]!Table9[#All],2)</f>
        <v>Plumbing</v>
      </c>
    </row>
    <row r="728" spans="1:22" x14ac:dyDescent="0.45">
      <c r="A728" s="55">
        <v>44810</v>
      </c>
      <c r="B728" t="s">
        <v>784</v>
      </c>
      <c r="C728" s="34">
        <v>10.38</v>
      </c>
      <c r="D728" s="40" t="s">
        <v>399</v>
      </c>
      <c r="E728" t="s">
        <v>69</v>
      </c>
      <c r="F728" s="28"/>
      <c r="G728" s="214">
        <v>1</v>
      </c>
      <c r="H728" s="28">
        <v>800</v>
      </c>
      <c r="I728" s="28"/>
      <c r="J728" s="109">
        <f>(Table3[[#This Row],[QTY]]*Table3[[#This Row],[Supplies Cost]])+Table3[[#This Row],[Tax/Fees]]</f>
        <v>800</v>
      </c>
      <c r="L728" s="4" t="s">
        <v>92</v>
      </c>
      <c r="M728" s="1" t="s">
        <v>34</v>
      </c>
      <c r="N728" s="31"/>
      <c r="O728" s="31" t="s">
        <v>780</v>
      </c>
      <c r="P728" s="31"/>
      <c r="Q728" s="31"/>
      <c r="R728" s="31"/>
      <c r="S728" s="31"/>
      <c r="T728" s="31" t="s">
        <v>50</v>
      </c>
      <c r="U728" s="31" t="str">
        <f>LEFT(Table3[[#This Row],[Stage]],FIND(".",Table3[[#This Row],[Stage]],1)-1)</f>
        <v>10</v>
      </c>
      <c r="V728" s="31" t="str">
        <f>VLOOKUP(ABS(Table3[[#This Row],[Type]]),[1]!Table9[#All],2)</f>
        <v>Plumbing</v>
      </c>
    </row>
    <row r="729" spans="1:22" x14ac:dyDescent="0.45">
      <c r="A729" s="55">
        <v>44810</v>
      </c>
      <c r="B729" t="s">
        <v>785</v>
      </c>
      <c r="C729" s="34">
        <v>10.38</v>
      </c>
      <c r="D729" s="40" t="s">
        <v>399</v>
      </c>
      <c r="E729" t="s">
        <v>69</v>
      </c>
      <c r="F729" s="28"/>
      <c r="G729" s="214">
        <v>1</v>
      </c>
      <c r="H729" s="28">
        <v>1610</v>
      </c>
      <c r="I729" s="28"/>
      <c r="J729" s="109">
        <f>(Table3[[#This Row],[QTY]]*Table3[[#This Row],[Supplies Cost]])+Table3[[#This Row],[Tax/Fees]]</f>
        <v>1610</v>
      </c>
      <c r="L729" s="4" t="s">
        <v>92</v>
      </c>
      <c r="M729" s="1" t="s">
        <v>34</v>
      </c>
      <c r="N729" s="31"/>
      <c r="O729" s="31" t="s">
        <v>780</v>
      </c>
      <c r="P729" s="31"/>
      <c r="Q729" s="31"/>
      <c r="R729" s="31"/>
      <c r="S729" s="31"/>
      <c r="T729" s="31" t="s">
        <v>50</v>
      </c>
      <c r="U729" s="31" t="str">
        <f>LEFT(Table3[[#This Row],[Stage]],FIND(".",Table3[[#This Row],[Stage]],1)-1)</f>
        <v>10</v>
      </c>
      <c r="V729" s="31" t="str">
        <f>VLOOKUP(ABS(Table3[[#This Row],[Type]]),[1]!Table9[#All],2)</f>
        <v>Plumbing</v>
      </c>
    </row>
    <row r="730" spans="1:22" x14ac:dyDescent="0.45">
      <c r="A730" s="55">
        <v>44810</v>
      </c>
      <c r="B730" t="s">
        <v>786</v>
      </c>
      <c r="C730" s="57">
        <v>1.1100000000000001</v>
      </c>
      <c r="D730" s="90" t="s">
        <v>122</v>
      </c>
      <c r="E730" t="s">
        <v>123</v>
      </c>
      <c r="F730" s="28"/>
      <c r="G730" s="214">
        <v>1</v>
      </c>
      <c r="H730" s="28">
        <v>12000</v>
      </c>
      <c r="I730" s="28">
        <v>-37.5</v>
      </c>
      <c r="J730" s="109">
        <f>(Table3[[#This Row],[QTY]]*Table3[[#This Row],[Supplies Cost]])+Table3[[#This Row],[Tax/Fees]]</f>
        <v>11962.5</v>
      </c>
      <c r="L730" s="4" t="s">
        <v>33</v>
      </c>
      <c r="M730" s="1" t="s">
        <v>124</v>
      </c>
      <c r="N730" s="31"/>
      <c r="O730" s="31"/>
      <c r="P730" s="31"/>
      <c r="Q730" s="31"/>
      <c r="R730" s="31">
        <v>25.110499999999998</v>
      </c>
      <c r="S730" s="31"/>
      <c r="T730" s="31" t="s">
        <v>60</v>
      </c>
      <c r="U730" s="31" t="str">
        <f>LEFT(Table3[[#This Row],[Stage]],FIND(".",Table3[[#This Row],[Stage]],1)-1)</f>
        <v>1</v>
      </c>
      <c r="V730" s="31" t="str">
        <f>VLOOKUP(ABS(Table3[[#This Row],[Type]]),[1]!Table9[#All],2)</f>
        <v>Transfers</v>
      </c>
    </row>
    <row r="731" spans="1:22" x14ac:dyDescent="0.45">
      <c r="A731" s="55">
        <v>44812</v>
      </c>
      <c r="B731" t="s">
        <v>787</v>
      </c>
      <c r="C731" s="34">
        <v>10.38</v>
      </c>
      <c r="D731" s="27" t="s">
        <v>489</v>
      </c>
      <c r="E731" t="s">
        <v>611</v>
      </c>
      <c r="F731" s="28"/>
      <c r="G731" s="214">
        <v>1</v>
      </c>
      <c r="H731" s="28">
        <v>133</v>
      </c>
      <c r="I731" s="28"/>
      <c r="J731" s="109">
        <f>(Table3[[#This Row],[QTY]]*Table3[[#This Row],[Supplies Cost]])+Table3[[#This Row],[Tax/Fees]]</f>
        <v>133</v>
      </c>
      <c r="L731" s="4" t="s">
        <v>33</v>
      </c>
      <c r="M731" s="1" t="s">
        <v>47</v>
      </c>
      <c r="N731" s="31"/>
      <c r="O731" s="31"/>
      <c r="P731" s="31"/>
      <c r="Q731" s="31"/>
      <c r="R731" s="31">
        <v>10.385</v>
      </c>
      <c r="S731" s="31"/>
      <c r="T731" s="31" t="s">
        <v>526</v>
      </c>
      <c r="U731" s="31" t="str">
        <f>LEFT(Table3[[#This Row],[Stage]],FIND(".",Table3[[#This Row],[Stage]],1)-1)</f>
        <v>10</v>
      </c>
      <c r="V731" s="31" t="str">
        <f>VLOOKUP(ABS(Table3[[#This Row],[Type]]),[1]!Table9[#All],2)</f>
        <v>Plumbing</v>
      </c>
    </row>
    <row r="732" spans="1:22" x14ac:dyDescent="0.45">
      <c r="A732" s="55">
        <v>44814</v>
      </c>
      <c r="B732" t="s">
        <v>788</v>
      </c>
      <c r="C732" s="34">
        <v>9.1</v>
      </c>
      <c r="D732" s="27" t="s">
        <v>45</v>
      </c>
      <c r="E732" t="s">
        <v>759</v>
      </c>
      <c r="F732" s="58"/>
      <c r="G732" s="214">
        <v>1</v>
      </c>
      <c r="H732" s="58">
        <v>210</v>
      </c>
      <c r="I732" s="28"/>
      <c r="J732" s="109">
        <f>(Table3[[#This Row],[QTY]]*Table3[[#This Row],[Supplies Cost]])+Table3[[#This Row],[Tax/Fees]]</f>
        <v>210</v>
      </c>
      <c r="L732" s="4" t="s">
        <v>33</v>
      </c>
      <c r="M732" s="1" t="s">
        <v>34</v>
      </c>
      <c r="N732" s="31"/>
      <c r="O732" s="31"/>
      <c r="P732" s="31"/>
      <c r="Q732" s="31"/>
      <c r="R732" s="31">
        <v>9.11</v>
      </c>
      <c r="S732" s="31"/>
      <c r="T732" s="31" t="s">
        <v>672</v>
      </c>
      <c r="U732" s="31" t="str">
        <f>LEFT(Table3[[#This Row],[Stage]],FIND(".",Table3[[#This Row],[Stage]],1)-1)</f>
        <v>9</v>
      </c>
      <c r="V732" s="31">
        <f>VLOOKUP(ABS(Table3[[#This Row],[Type]]),[1]!Table9[#All],2)</f>
        <v>0</v>
      </c>
    </row>
    <row r="733" spans="1:22" x14ac:dyDescent="0.45">
      <c r="A733" s="218">
        <v>44816</v>
      </c>
      <c r="B733" t="s">
        <v>789</v>
      </c>
      <c r="C733" s="34">
        <v>3.7</v>
      </c>
      <c r="D733" s="31" t="s">
        <v>351</v>
      </c>
      <c r="E733" t="s">
        <v>352</v>
      </c>
      <c r="F733" s="28"/>
      <c r="G733" s="214">
        <v>1</v>
      </c>
      <c r="H733" s="28">
        <v>176.25</v>
      </c>
      <c r="I733" s="28"/>
      <c r="J733" s="109">
        <f>(Table3[[#This Row],[QTY]]*Table3[[#This Row],[Supplies Cost]])+Table3[[#This Row],[Tax/Fees]]</f>
        <v>176.25</v>
      </c>
      <c r="L733" s="4" t="s">
        <v>33</v>
      </c>
      <c r="M733" s="1" t="s">
        <v>47</v>
      </c>
      <c r="N733" s="31"/>
      <c r="O733" s="31"/>
      <c r="P733" s="31"/>
      <c r="Q733" s="31"/>
      <c r="R733" s="31">
        <v>3.7250000000000001</v>
      </c>
      <c r="S733" s="31"/>
      <c r="T733" s="31" t="s">
        <v>790</v>
      </c>
      <c r="U733" s="31" t="str">
        <f>LEFT(Table3[[#This Row],[Stage]],FIND(".",Table3[[#This Row],[Stage]],1)-1)</f>
        <v>3</v>
      </c>
      <c r="V733" s="31" t="str">
        <f>VLOOKUP(ABS(Table3[[#This Row],[Type]]),[1]!Table9[#All],2)</f>
        <v>Masonary</v>
      </c>
    </row>
    <row r="734" spans="1:22" x14ac:dyDescent="0.45">
      <c r="A734" s="218">
        <v>44816</v>
      </c>
      <c r="B734" t="s">
        <v>791</v>
      </c>
      <c r="C734" s="34">
        <v>3.7</v>
      </c>
      <c r="D734" s="31" t="s">
        <v>351</v>
      </c>
      <c r="E734" t="s">
        <v>352</v>
      </c>
      <c r="F734" s="28"/>
      <c r="G734" s="214">
        <v>1</v>
      </c>
      <c r="H734" s="28">
        <v>88.13</v>
      </c>
      <c r="I734" s="28"/>
      <c r="J734" s="109">
        <f>(Table3[[#This Row],[QTY]]*Table3[[#This Row],[Supplies Cost]])+Table3[[#This Row],[Tax/Fees]]</f>
        <v>88.13</v>
      </c>
      <c r="L734" s="4" t="s">
        <v>33</v>
      </c>
      <c r="M734" s="1" t="s">
        <v>47</v>
      </c>
      <c r="N734" s="31"/>
      <c r="O734" s="31"/>
      <c r="P734" s="31"/>
      <c r="Q734" s="31"/>
      <c r="R734" s="31">
        <v>3.74</v>
      </c>
      <c r="S734" s="31"/>
      <c r="T734" s="31" t="s">
        <v>790</v>
      </c>
      <c r="U734" s="31" t="str">
        <f>LEFT(Table3[[#This Row],[Stage]],FIND(".",Table3[[#This Row],[Stage]],1)-1)</f>
        <v>3</v>
      </c>
      <c r="V734" s="31" t="str">
        <f>VLOOKUP(ABS(Table3[[#This Row],[Type]]),[1]!Table9[#All],2)</f>
        <v>Masonary</v>
      </c>
    </row>
    <row r="735" spans="1:22" x14ac:dyDescent="0.45">
      <c r="A735" s="218">
        <v>44816</v>
      </c>
      <c r="B735" t="s">
        <v>328</v>
      </c>
      <c r="C735" s="57">
        <v>25.1</v>
      </c>
      <c r="D735" s="152" t="s">
        <v>489</v>
      </c>
      <c r="E735" t="s">
        <v>219</v>
      </c>
      <c r="F735" s="28"/>
      <c r="G735" s="214"/>
      <c r="H735" s="28">
        <v>130.5</v>
      </c>
      <c r="I735" s="28"/>
      <c r="J735" s="109">
        <f>(Table3[[#This Row],[QTY]]*Table3[[#This Row],[Supplies Cost]])+Table3[[#This Row],[Tax/Fees]]</f>
        <v>0</v>
      </c>
      <c r="L735" s="4" t="s">
        <v>33</v>
      </c>
      <c r="M735" s="1" t="s">
        <v>47</v>
      </c>
      <c r="N735" s="31"/>
      <c r="O735" s="31"/>
      <c r="P735" s="31"/>
      <c r="Q735" s="31"/>
      <c r="R735" s="31">
        <v>25.135000000000002</v>
      </c>
      <c r="S735" s="31"/>
      <c r="T735" s="31" t="s">
        <v>142</v>
      </c>
      <c r="U735" s="31" t="str">
        <f>LEFT(Table3[[#This Row],[Stage]],FIND(".",Table3[[#This Row],[Stage]],1)-1)</f>
        <v>25</v>
      </c>
      <c r="V735" s="31" t="str">
        <f>VLOOKUP(ABS(Table3[[#This Row],[Type]]),[1]!Table9[#All],2)</f>
        <v>Tiling</v>
      </c>
    </row>
    <row r="736" spans="1:22" x14ac:dyDescent="0.45">
      <c r="A736" s="218">
        <v>44816</v>
      </c>
      <c r="B736" t="s">
        <v>262</v>
      </c>
      <c r="C736" s="57">
        <v>7.9</v>
      </c>
      <c r="D736" s="40" t="s">
        <v>399</v>
      </c>
      <c r="E736" t="s">
        <v>116</v>
      </c>
      <c r="F736" s="28"/>
      <c r="G736" s="214">
        <v>1</v>
      </c>
      <c r="H736" s="28">
        <v>277.3</v>
      </c>
      <c r="I736" s="28"/>
      <c r="J736" s="109">
        <f>(Table3[[#This Row],[QTY]]*Table3[[#This Row],[Supplies Cost]])+Table3[[#This Row],[Tax/Fees]]</f>
        <v>277.3</v>
      </c>
      <c r="L736" s="4" t="s">
        <v>33</v>
      </c>
      <c r="M736" s="1" t="s">
        <v>77</v>
      </c>
      <c r="N736" s="31"/>
      <c r="O736" s="31"/>
      <c r="P736" s="31"/>
      <c r="Q736" s="31"/>
      <c r="R736" s="31">
        <v>7.92</v>
      </c>
      <c r="S736" s="31"/>
      <c r="T736" s="31" t="s">
        <v>60</v>
      </c>
      <c r="U736" s="31" t="str">
        <f>LEFT(Table3[[#This Row],[Stage]],FIND(".",Table3[[#This Row],[Stage]],1)-1)</f>
        <v>7</v>
      </c>
      <c r="V736" s="31" t="str">
        <f>VLOOKUP(ABS(Table3[[#This Row],[Type]]),[1]!Table9[#All],2)</f>
        <v>Carpentry</v>
      </c>
    </row>
    <row r="737" spans="1:22" x14ac:dyDescent="0.45">
      <c r="A737" s="218">
        <v>44816</v>
      </c>
      <c r="B737" t="s">
        <v>792</v>
      </c>
      <c r="C737" s="34">
        <v>13.4</v>
      </c>
      <c r="D737" s="27" t="s">
        <v>399</v>
      </c>
      <c r="E737" t="s">
        <v>793</v>
      </c>
      <c r="F737" s="28"/>
      <c r="G737" s="214">
        <v>1</v>
      </c>
      <c r="H737" s="28">
        <v>281.83999999999997</v>
      </c>
      <c r="I737" s="28"/>
      <c r="J737" s="109">
        <f>(Table3[[#This Row],[QTY]]*Table3[[#This Row],[Supplies Cost]])+Table3[[#This Row],[Tax/Fees]]</f>
        <v>281.83999999999997</v>
      </c>
      <c r="L737" s="4" t="s">
        <v>33</v>
      </c>
      <c r="M737" s="1" t="s">
        <v>47</v>
      </c>
      <c r="N737" s="31"/>
      <c r="O737" s="31"/>
      <c r="P737" s="31"/>
      <c r="Q737" s="31"/>
      <c r="R737" s="31">
        <v>13.43</v>
      </c>
      <c r="S737" s="31"/>
      <c r="T737" s="31" t="s">
        <v>719</v>
      </c>
      <c r="U737" s="31" t="str">
        <f>LEFT(Table3[[#This Row],[Stage]],FIND(".",Table3[[#This Row],[Stage]],1)-1)</f>
        <v>13</v>
      </c>
      <c r="V737" s="31" t="str">
        <f>VLOOKUP(ABS(Table3[[#This Row],[Type]]),[1]!Table9[#All],2)</f>
        <v>Electrical</v>
      </c>
    </row>
    <row r="738" spans="1:22" x14ac:dyDescent="0.45">
      <c r="A738" s="218">
        <v>44817</v>
      </c>
      <c r="B738" t="s">
        <v>529</v>
      </c>
      <c r="C738" s="57">
        <v>8.0399999999999991</v>
      </c>
      <c r="D738" s="152" t="s">
        <v>45</v>
      </c>
      <c r="E738" t="s">
        <v>127</v>
      </c>
      <c r="F738" s="28"/>
      <c r="G738" s="214">
        <v>1</v>
      </c>
      <c r="H738" s="28">
        <v>305.5</v>
      </c>
      <c r="I738" s="28"/>
      <c r="J738" s="109">
        <f>(Table3[[#This Row],[QTY]]*Table3[[#This Row],[Supplies Cost]])+Table3[[#This Row],[Tax/Fees]]</f>
        <v>305.5</v>
      </c>
      <c r="L738" s="4" t="s">
        <v>33</v>
      </c>
      <c r="M738" s="1" t="s">
        <v>77</v>
      </c>
      <c r="N738" s="31"/>
      <c r="O738" s="31"/>
      <c r="P738" s="31"/>
      <c r="Q738" s="31"/>
      <c r="R738" s="31">
        <v>8.0414999999999992</v>
      </c>
      <c r="S738" s="31"/>
      <c r="T738" s="31" t="s">
        <v>60</v>
      </c>
      <c r="U738" s="31" t="str">
        <f>LEFT(Table3[[#This Row],[Stage]],FIND(".",Table3[[#This Row],[Stage]],1)-1)</f>
        <v>8</v>
      </c>
      <c r="V738" s="31" t="str">
        <f>VLOOKUP(ABS(Table3[[#This Row],[Type]]),[1]!Table9[#All],2)</f>
        <v>Administrative</v>
      </c>
    </row>
    <row r="739" spans="1:22" x14ac:dyDescent="0.45">
      <c r="A739" s="218">
        <v>44833</v>
      </c>
      <c r="B739" t="s">
        <v>408</v>
      </c>
      <c r="C739" s="141">
        <v>8.0399999999999991</v>
      </c>
      <c r="D739" s="142" t="s">
        <v>489</v>
      </c>
      <c r="E739" t="s">
        <v>46</v>
      </c>
      <c r="F739" s="28"/>
      <c r="G739" s="214"/>
      <c r="H739" s="28">
        <v>81.7</v>
      </c>
      <c r="I739" s="28"/>
      <c r="J739" s="109">
        <f>(Table3[[#This Row],[QTY]]*Table3[[#This Row],[Supplies Cost]])+Table3[[#This Row],[Tax/Fees]]</f>
        <v>0</v>
      </c>
      <c r="L739" s="4" t="s">
        <v>33</v>
      </c>
      <c r="M739" s="1" t="s">
        <v>77</v>
      </c>
      <c r="N739" s="31"/>
      <c r="O739" s="31"/>
      <c r="P739" s="31"/>
      <c r="Q739" s="31"/>
      <c r="R739" s="31">
        <v>8.0444999999999993</v>
      </c>
      <c r="S739" s="31"/>
      <c r="T739" s="31" t="s">
        <v>60</v>
      </c>
      <c r="U739" s="31" t="str">
        <f>LEFT(Table3[[#This Row],[Stage]],FIND(".",Table3[[#This Row],[Stage]],1)-1)</f>
        <v>8</v>
      </c>
      <c r="V739" s="31" t="str">
        <f>VLOOKUP(ABS(Table3[[#This Row],[Type]]),[1]!Table9[#All],2)</f>
        <v>Administrative</v>
      </c>
    </row>
    <row r="740" spans="1:22" x14ac:dyDescent="0.45">
      <c r="A740" s="218">
        <v>44835</v>
      </c>
      <c r="B740" t="s">
        <v>794</v>
      </c>
      <c r="C740" s="57">
        <v>26.52</v>
      </c>
      <c r="D740" s="90" t="s">
        <v>358</v>
      </c>
      <c r="E740" t="s">
        <v>470</v>
      </c>
      <c r="F740" s="28"/>
      <c r="G740" s="214">
        <v>1</v>
      </c>
      <c r="H740" s="28">
        <v>5500</v>
      </c>
      <c r="I740" s="28"/>
      <c r="J740" s="109">
        <f>(Table3[[#This Row],[QTY]]*Table3[[#This Row],[Supplies Cost]])+Table3[[#This Row],[Tax/Fees]]</f>
        <v>5500</v>
      </c>
      <c r="L740" s="4" t="s">
        <v>33</v>
      </c>
      <c r="M740" s="1" t="s">
        <v>34</v>
      </c>
      <c r="N740" s="31"/>
      <c r="O740" s="31"/>
      <c r="P740" s="31"/>
      <c r="Q740" s="31"/>
      <c r="R740" s="31">
        <v>26.524999999999999</v>
      </c>
      <c r="S740" s="31"/>
      <c r="T740" s="31" t="s">
        <v>433</v>
      </c>
      <c r="U740" s="31" t="str">
        <f>LEFT(Table3[[#This Row],[Stage]],FIND(".",Table3[[#This Row],[Stage]],1)-1)</f>
        <v>26</v>
      </c>
      <c r="V740" s="31" t="str">
        <f>VLOOKUP(ABS(Table3[[#This Row],[Type]]),[1]!Table9[#All],2)</f>
        <v>Painting</v>
      </c>
    </row>
    <row r="741" spans="1:22" x14ac:dyDescent="0.45">
      <c r="A741" s="218">
        <v>44837</v>
      </c>
      <c r="B741" t="s">
        <v>795</v>
      </c>
      <c r="C741" s="57">
        <v>3.8</v>
      </c>
      <c r="D741" s="90" t="s">
        <v>177</v>
      </c>
      <c r="E741" t="s">
        <v>71</v>
      </c>
      <c r="F741" s="28"/>
      <c r="G741" s="214">
        <v>1</v>
      </c>
      <c r="H741" s="28">
        <v>84.38</v>
      </c>
      <c r="I741" s="28"/>
      <c r="J741" s="109">
        <f>(Table3[[#This Row],[QTY]]*Table3[[#This Row],[Supplies Cost]])+Table3[[#This Row],[Tax/Fees]]</f>
        <v>84.38</v>
      </c>
      <c r="L741" s="4" t="s">
        <v>33</v>
      </c>
      <c r="M741" s="1" t="s">
        <v>47</v>
      </c>
      <c r="N741" s="31" t="s">
        <v>479</v>
      </c>
      <c r="O741" s="31"/>
      <c r="P741" s="31"/>
      <c r="Q741" s="31"/>
      <c r="R741" s="31">
        <v>3.83</v>
      </c>
      <c r="S741" s="31"/>
      <c r="T741" s="31" t="s">
        <v>672</v>
      </c>
      <c r="U741" s="31" t="str">
        <f>LEFT(Table3[[#This Row],[Stage]],FIND(".",Table3[[#This Row],[Stage]],1)-1)</f>
        <v>3</v>
      </c>
      <c r="V741" s="31" t="str">
        <f>VLOOKUP(ABS(Table3[[#This Row],[Type]]),[1]!Table9[#All],2)</f>
        <v>Masonary</v>
      </c>
    </row>
    <row r="742" spans="1:22" x14ac:dyDescent="0.45">
      <c r="A742" s="218">
        <v>44837</v>
      </c>
      <c r="B742" t="s">
        <v>796</v>
      </c>
      <c r="C742" s="34">
        <v>26.52</v>
      </c>
      <c r="D742" s="27" t="s">
        <v>670</v>
      </c>
      <c r="E742" t="s">
        <v>440</v>
      </c>
      <c r="F742" s="28"/>
      <c r="G742" s="214">
        <v>1</v>
      </c>
      <c r="H742" s="28">
        <v>1284.96</v>
      </c>
      <c r="I742" s="28"/>
      <c r="J742" s="109">
        <f>(Table3[[#This Row],[QTY]]*Table3[[#This Row],[Supplies Cost]])+Table3[[#This Row],[Tax/Fees]]</f>
        <v>1284.96</v>
      </c>
      <c r="L742" s="4" t="s">
        <v>33</v>
      </c>
      <c r="M742" s="1" t="s">
        <v>47</v>
      </c>
      <c r="N742" s="31"/>
      <c r="O742" s="31"/>
      <c r="P742" s="31"/>
      <c r="Q742" s="31"/>
      <c r="R742" s="31">
        <v>26.525500000000001</v>
      </c>
      <c r="S742" s="31"/>
      <c r="T742" s="31" t="s">
        <v>433</v>
      </c>
      <c r="U742" s="31" t="str">
        <f>LEFT(Table3[[#This Row],[Stage]],FIND(".",Table3[[#This Row],[Stage]],1)-1)</f>
        <v>26</v>
      </c>
      <c r="V742" s="31" t="str">
        <f>VLOOKUP(ABS(Table3[[#This Row],[Type]]),[1]!Table9[#All],2)</f>
        <v>Painting</v>
      </c>
    </row>
    <row r="743" spans="1:22" x14ac:dyDescent="0.45">
      <c r="A743" s="218">
        <v>44842</v>
      </c>
      <c r="B743" t="s">
        <v>797</v>
      </c>
      <c r="C743" s="34">
        <v>1.1100000000000001</v>
      </c>
      <c r="D743" s="152" t="s">
        <v>122</v>
      </c>
      <c r="E743" t="s">
        <v>448</v>
      </c>
      <c r="F743" s="28"/>
      <c r="G743" s="214">
        <v>1</v>
      </c>
      <c r="H743" s="28">
        <v>7500</v>
      </c>
      <c r="I743" s="28"/>
      <c r="J743" s="109">
        <f>(Table3[[#This Row],[QTY]]*Table3[[#This Row],[Supplies Cost]])+Table3[[#This Row],[Tax/Fees]]</f>
        <v>7500</v>
      </c>
      <c r="L743" s="4" t="s">
        <v>33</v>
      </c>
      <c r="M743" s="1" t="s">
        <v>124</v>
      </c>
      <c r="N743" s="40"/>
      <c r="O743" s="31"/>
      <c r="P743" s="31"/>
      <c r="Q743" s="31"/>
      <c r="R743" s="31">
        <v>26.525500000000001</v>
      </c>
      <c r="S743" s="31"/>
      <c r="T743" s="31" t="s">
        <v>60</v>
      </c>
      <c r="U743" s="31" t="str">
        <f>LEFT(Table3[[#This Row],[Stage]],FIND(".",Table3[[#This Row],[Stage]],1)-1)</f>
        <v>1</v>
      </c>
      <c r="V743" s="31" t="str">
        <f>VLOOKUP(ABS(Table3[[#This Row],[Type]]),[1]!Table9[#All],2)</f>
        <v>Transfers</v>
      </c>
    </row>
    <row r="744" spans="1:22" x14ac:dyDescent="0.45">
      <c r="A744" s="218">
        <v>44844</v>
      </c>
      <c r="B744" t="s">
        <v>798</v>
      </c>
      <c r="C744" s="57">
        <v>26.52</v>
      </c>
      <c r="D744" s="27" t="s">
        <v>358</v>
      </c>
      <c r="E744" t="s">
        <v>470</v>
      </c>
      <c r="F744" s="28"/>
      <c r="G744" s="214">
        <v>1</v>
      </c>
      <c r="H744" s="28">
        <v>42.63</v>
      </c>
      <c r="I744" s="28"/>
      <c r="J744" s="109">
        <f>(Table3[[#This Row],[QTY]]*Table3[[#This Row],[Supplies Cost]])+Table3[[#This Row],[Tax/Fees]]</f>
        <v>42.63</v>
      </c>
      <c r="L744" s="4" t="s">
        <v>92</v>
      </c>
      <c r="M744" s="1" t="s">
        <v>47</v>
      </c>
      <c r="N744" s="31"/>
      <c r="O744" s="31" t="s">
        <v>799</v>
      </c>
      <c r="P744" s="31"/>
      <c r="Q744" s="31"/>
      <c r="R744" s="31"/>
      <c r="S744" s="31"/>
      <c r="T744" s="31" t="s">
        <v>433</v>
      </c>
      <c r="U744" s="31" t="str">
        <f>LEFT(Table3[[#This Row],[Stage]],FIND(".",Table3[[#This Row],[Stage]],1)-1)</f>
        <v>26</v>
      </c>
      <c r="V744" s="31" t="str">
        <f>VLOOKUP(ABS(Table3[[#This Row],[Type]]),[1]!Table9[#All],2)</f>
        <v>Painting</v>
      </c>
    </row>
    <row r="745" spans="1:22" x14ac:dyDescent="0.45">
      <c r="A745" s="218">
        <v>44844</v>
      </c>
      <c r="B745" t="s">
        <v>798</v>
      </c>
      <c r="C745" s="220">
        <v>26.52</v>
      </c>
      <c r="D745" s="27" t="s">
        <v>358</v>
      </c>
      <c r="E745" t="s">
        <v>470</v>
      </c>
      <c r="F745" s="28"/>
      <c r="G745" s="214">
        <v>1</v>
      </c>
      <c r="H745" s="28">
        <v>236.48</v>
      </c>
      <c r="I745" s="28"/>
      <c r="J745" s="109">
        <f>(Table3[[#This Row],[QTY]]*Table3[[#This Row],[Supplies Cost]])+Table3[[#This Row],[Tax/Fees]]</f>
        <v>236.48</v>
      </c>
      <c r="L745" s="4" t="s">
        <v>92</v>
      </c>
      <c r="M745" s="1" t="s">
        <v>47</v>
      </c>
      <c r="N745" s="40"/>
      <c r="O745" s="31" t="s">
        <v>799</v>
      </c>
      <c r="P745" s="31"/>
      <c r="Q745" s="31"/>
      <c r="R745" s="31"/>
      <c r="S745" s="31"/>
      <c r="T745" s="31" t="s">
        <v>433</v>
      </c>
      <c r="U745" s="31" t="str">
        <f>LEFT(Table3[[#This Row],[Stage]],FIND(".",Table3[[#This Row],[Stage]],1)-1)</f>
        <v>26</v>
      </c>
      <c r="V745" s="31" t="str">
        <f>VLOOKUP(ABS(Table3[[#This Row],[Type]]),[1]!Table9[#All],2)</f>
        <v>Painting</v>
      </c>
    </row>
    <row r="746" spans="1:22" x14ac:dyDescent="0.45">
      <c r="A746" s="218">
        <v>44844</v>
      </c>
      <c r="B746" t="s">
        <v>798</v>
      </c>
      <c r="C746" s="34">
        <v>26.52</v>
      </c>
      <c r="D746" s="27" t="s">
        <v>358</v>
      </c>
      <c r="E746" t="s">
        <v>470</v>
      </c>
      <c r="F746" s="28"/>
      <c r="G746" s="214">
        <v>1</v>
      </c>
      <c r="H746" s="28">
        <v>275.26</v>
      </c>
      <c r="I746" s="28"/>
      <c r="J746" s="109">
        <f>(Table3[[#This Row],[QTY]]*Table3[[#This Row],[Supplies Cost]])+Table3[[#This Row],[Tax/Fees]]</f>
        <v>275.26</v>
      </c>
      <c r="K746" s="203">
        <v>554.37</v>
      </c>
      <c r="L746" s="4" t="s">
        <v>33</v>
      </c>
      <c r="M746" s="1" t="s">
        <v>47</v>
      </c>
      <c r="N746" s="40"/>
      <c r="O746" s="31" t="s">
        <v>799</v>
      </c>
      <c r="P746" s="31"/>
      <c r="Q746" s="31"/>
      <c r="R746" s="31">
        <v>26.522500000000001</v>
      </c>
      <c r="S746" s="31"/>
      <c r="T746" s="31" t="s">
        <v>433</v>
      </c>
      <c r="U746" s="31" t="str">
        <f>LEFT(Table3[[#This Row],[Stage]],FIND(".",Table3[[#This Row],[Stage]],1)-1)</f>
        <v>26</v>
      </c>
      <c r="V746" s="31" t="str">
        <f>VLOOKUP(ABS(Table3[[#This Row],[Type]]),[1]!Table9[#All],2)</f>
        <v>Painting</v>
      </c>
    </row>
    <row r="747" spans="1:22" x14ac:dyDescent="0.45">
      <c r="A747" s="218">
        <v>44844</v>
      </c>
      <c r="B747" t="s">
        <v>798</v>
      </c>
      <c r="C747" s="34">
        <v>26.52</v>
      </c>
      <c r="D747" s="27" t="s">
        <v>358</v>
      </c>
      <c r="E747" t="s">
        <v>470</v>
      </c>
      <c r="F747" s="28"/>
      <c r="G747" s="214">
        <v>1</v>
      </c>
      <c r="H747" s="28">
        <v>459.24</v>
      </c>
      <c r="I747" s="28"/>
      <c r="J747" s="109">
        <f>(Table3[[#This Row],[QTY]]*Table3[[#This Row],[Supplies Cost]])+Table3[[#This Row],[Tax/Fees]]</f>
        <v>459.24</v>
      </c>
      <c r="L747" s="4" t="s">
        <v>33</v>
      </c>
      <c r="M747" s="1" t="s">
        <v>47</v>
      </c>
      <c r="N747" s="40"/>
      <c r="O747" s="31"/>
      <c r="P747" s="31"/>
      <c r="Q747" s="31"/>
      <c r="R747" s="31">
        <v>26.523</v>
      </c>
      <c r="S747" s="31"/>
      <c r="T747" s="31" t="s">
        <v>433</v>
      </c>
      <c r="U747" s="31" t="str">
        <f>LEFT(Table3[[#This Row],[Stage]],FIND(".",Table3[[#This Row],[Stage]],1)-1)</f>
        <v>26</v>
      </c>
      <c r="V747" s="31" t="str">
        <f>VLOOKUP(ABS(Table3[[#This Row],[Type]]),[1]!Table9[#All],2)</f>
        <v>Painting</v>
      </c>
    </row>
    <row r="748" spans="1:22" x14ac:dyDescent="0.45">
      <c r="A748" s="218">
        <v>44845</v>
      </c>
      <c r="B748" t="s">
        <v>800</v>
      </c>
      <c r="C748" s="56">
        <v>26.2</v>
      </c>
      <c r="D748" s="27" t="s">
        <v>177</v>
      </c>
      <c r="E748" t="s">
        <v>801</v>
      </c>
      <c r="F748" s="28"/>
      <c r="G748" s="214">
        <v>1</v>
      </c>
      <c r="H748" s="28">
        <v>116.61</v>
      </c>
      <c r="I748" s="28"/>
      <c r="J748" s="109">
        <f>(Table3[[#This Row],[QTY]]*Table3[[#This Row],[Supplies Cost]])+Table3[[#This Row],[Tax/Fees]]</f>
        <v>116.61</v>
      </c>
      <c r="L748" s="4" t="s">
        <v>33</v>
      </c>
      <c r="M748" s="1" t="s">
        <v>77</v>
      </c>
      <c r="N748" s="40" t="s">
        <v>479</v>
      </c>
      <c r="O748" s="31"/>
      <c r="P748" s="31"/>
      <c r="Q748" s="31"/>
      <c r="R748" s="31">
        <v>26.245000000000001</v>
      </c>
      <c r="S748" s="31"/>
      <c r="T748" s="31" t="s">
        <v>60</v>
      </c>
      <c r="U748" s="31" t="str">
        <f>LEFT(Table3[[#This Row],[Stage]],FIND(".",Table3[[#This Row],[Stage]],1)-1)</f>
        <v>26</v>
      </c>
      <c r="V748" s="31" t="str">
        <f>VLOOKUP(ABS(Table3[[#This Row],[Type]]),[1]!Table9[#All],2)</f>
        <v>Painting</v>
      </c>
    </row>
    <row r="749" spans="1:22" x14ac:dyDescent="0.45">
      <c r="A749" s="218">
        <v>44848</v>
      </c>
      <c r="B749" t="s">
        <v>802</v>
      </c>
      <c r="C749" s="220">
        <v>25.15</v>
      </c>
      <c r="D749" s="27" t="s">
        <v>177</v>
      </c>
      <c r="E749" t="s">
        <v>803</v>
      </c>
      <c r="F749" s="28"/>
      <c r="G749" s="214">
        <v>1</v>
      </c>
      <c r="H749" s="28">
        <v>62</v>
      </c>
      <c r="I749" s="28"/>
      <c r="J749" s="109">
        <f>(Table3[[#This Row],[QTY]]*Table3[[#This Row],[Supplies Cost]])+Table3[[#This Row],[Tax/Fees]]</f>
        <v>62</v>
      </c>
      <c r="L749" s="4" t="s">
        <v>33</v>
      </c>
      <c r="M749" s="1" t="s">
        <v>47</v>
      </c>
      <c r="N749" s="40" t="s">
        <v>479</v>
      </c>
      <c r="O749" s="31"/>
      <c r="P749" s="31"/>
      <c r="Q749" s="31"/>
      <c r="R749" s="31">
        <v>25.1525</v>
      </c>
      <c r="S749" s="31"/>
      <c r="T749" s="31" t="s">
        <v>568</v>
      </c>
      <c r="U749" s="31" t="str">
        <f>LEFT(Table3[[#This Row],[Stage]],FIND(".",Table3[[#This Row],[Stage]],1)-1)</f>
        <v>25</v>
      </c>
      <c r="V749" s="31" t="str">
        <f>VLOOKUP(ABS(Table3[[#This Row],[Type]]),[1]!Table9[#All],2)</f>
        <v>Tiling</v>
      </c>
    </row>
    <row r="750" spans="1:22" x14ac:dyDescent="0.45">
      <c r="A750" s="218">
        <v>44848</v>
      </c>
      <c r="B750" t="s">
        <v>804</v>
      </c>
      <c r="C750">
        <v>26.2</v>
      </c>
      <c r="D750" s="27" t="s">
        <v>177</v>
      </c>
      <c r="E750" t="s">
        <v>805</v>
      </c>
      <c r="F750" s="28"/>
      <c r="G750" s="214">
        <v>1</v>
      </c>
      <c r="H750" s="28">
        <v>10</v>
      </c>
      <c r="I750" s="28"/>
      <c r="J750" s="109">
        <f>(Table3[[#This Row],[QTY]]*Table3[[#This Row],[Supplies Cost]])+Table3[[#This Row],[Tax/Fees]]</f>
        <v>10</v>
      </c>
      <c r="L750" s="4" t="s">
        <v>33</v>
      </c>
      <c r="M750" s="1" t="s">
        <v>77</v>
      </c>
      <c r="N750" s="40" t="s">
        <v>479</v>
      </c>
      <c r="O750" s="31"/>
      <c r="P750" s="31"/>
      <c r="Q750" s="31"/>
      <c r="R750" s="31">
        <v>26.25</v>
      </c>
      <c r="S750" s="31"/>
      <c r="T750" s="31" t="s">
        <v>60</v>
      </c>
      <c r="U750" s="31" t="str">
        <f>LEFT(Table3[[#This Row],[Stage]],FIND(".",Table3[[#This Row],[Stage]],1)-1)</f>
        <v>26</v>
      </c>
      <c r="V750" s="31" t="str">
        <f>VLOOKUP(ABS(Table3[[#This Row],[Type]]),[1]!Table9[#All],2)</f>
        <v>Painting</v>
      </c>
    </row>
    <row r="751" spans="1:22" x14ac:dyDescent="0.45">
      <c r="A751" s="218">
        <v>44849</v>
      </c>
      <c r="B751" t="s">
        <v>806</v>
      </c>
      <c r="C751">
        <v>26.2</v>
      </c>
      <c r="D751" s="27" t="s">
        <v>177</v>
      </c>
      <c r="E751" t="s">
        <v>71</v>
      </c>
      <c r="F751" s="28"/>
      <c r="G751" s="214">
        <v>1</v>
      </c>
      <c r="H751" s="28">
        <v>23.62</v>
      </c>
      <c r="I751" s="28"/>
      <c r="J751" s="109">
        <f>(Table3[[#This Row],[QTY]]*Table3[[#This Row],[Supplies Cost]])+Table3[[#This Row],[Tax/Fees]]</f>
        <v>23.62</v>
      </c>
      <c r="L751" s="4" t="s">
        <v>33</v>
      </c>
      <c r="M751" s="1" t="s">
        <v>77</v>
      </c>
      <c r="N751" s="40" t="s">
        <v>479</v>
      </c>
      <c r="O751" s="31"/>
      <c r="P751" s="31"/>
      <c r="Q751" s="31"/>
      <c r="R751" s="31">
        <v>26.22</v>
      </c>
      <c r="S751" s="31"/>
      <c r="T751" s="31" t="s">
        <v>60</v>
      </c>
      <c r="U751" s="31" t="str">
        <f>LEFT(Table3[[#This Row],[Stage]],FIND(".",Table3[[#This Row],[Stage]],1)-1)</f>
        <v>26</v>
      </c>
      <c r="V751" s="31" t="str">
        <f>VLOOKUP(ABS(Table3[[#This Row],[Type]]),[1]!Table9[#All],2)</f>
        <v>Painting</v>
      </c>
    </row>
    <row r="752" spans="1:22" ht="30.75" x14ac:dyDescent="0.45">
      <c r="A752" s="218">
        <v>44855</v>
      </c>
      <c r="B752" t="s">
        <v>807</v>
      </c>
      <c r="C752" s="34">
        <v>13.3</v>
      </c>
      <c r="D752" s="31" t="s">
        <v>399</v>
      </c>
      <c r="E752" t="s">
        <v>776</v>
      </c>
      <c r="F752" s="28"/>
      <c r="G752" s="214">
        <v>3</v>
      </c>
      <c r="H752" s="28">
        <v>275.79000000000002</v>
      </c>
      <c r="I752" s="28">
        <f>$I$5*(Table3[[#This Row],[Supplies Cost]]*Table3[[#This Row],[QTY]])</f>
        <v>144.78975</v>
      </c>
      <c r="J752" s="109">
        <f>(Table3[[#This Row],[QTY]]*Table3[[#This Row],[Supplies Cost]])+Table3[[#This Row],[Tax/Fees]]</f>
        <v>972.15975000000014</v>
      </c>
      <c r="L752" s="4" t="s">
        <v>33</v>
      </c>
      <c r="M752" s="1" t="s">
        <v>47</v>
      </c>
      <c r="N752" s="31" t="s">
        <v>479</v>
      </c>
      <c r="O752" s="31"/>
      <c r="P752" s="31"/>
      <c r="Q752" s="31"/>
      <c r="R752" s="31">
        <v>13.31</v>
      </c>
      <c r="S752" s="31"/>
      <c r="T752" s="31" t="s">
        <v>261</v>
      </c>
      <c r="U752" s="31" t="str">
        <f>LEFT(Table3[[#This Row],[Stage]],FIND(".",Table3[[#This Row],[Stage]],1)-1)</f>
        <v>13</v>
      </c>
      <c r="V752" s="31" t="str">
        <f>VLOOKUP(ABS(Table3[[#This Row],[Type]]),[1]!Table9[#All],2)</f>
        <v>Electrical</v>
      </c>
    </row>
    <row r="753" spans="1:22" x14ac:dyDescent="0.45">
      <c r="A753" s="218">
        <v>44856</v>
      </c>
      <c r="B753" t="s">
        <v>808</v>
      </c>
      <c r="C753" s="34">
        <v>7.7</v>
      </c>
      <c r="D753" s="27" t="s">
        <v>177</v>
      </c>
      <c r="E753" t="s">
        <v>71</v>
      </c>
      <c r="F753" s="28"/>
      <c r="G753" s="214">
        <v>1</v>
      </c>
      <c r="H753" s="28">
        <v>893.66</v>
      </c>
      <c r="I753" s="28"/>
      <c r="J753" s="109">
        <f>(Table3[[#This Row],[QTY]]*Table3[[#This Row],[Supplies Cost]])+Table3[[#This Row],[Tax/Fees]]</f>
        <v>893.66</v>
      </c>
      <c r="L753" s="4" t="s">
        <v>33</v>
      </c>
      <c r="M753" s="1" t="s">
        <v>47</v>
      </c>
      <c r="N753" s="31"/>
      <c r="O753" s="31"/>
      <c r="P753" s="31"/>
      <c r="Q753" s="31"/>
      <c r="R753" s="31">
        <v>7.7149999999999999</v>
      </c>
      <c r="S753" s="31"/>
      <c r="T753" s="31" t="s">
        <v>526</v>
      </c>
      <c r="U753" s="31" t="str">
        <f>LEFT(Table3[[#This Row],[Stage]],FIND(".",Table3[[#This Row],[Stage]],1)-1)</f>
        <v>7</v>
      </c>
      <c r="V753" s="31" t="str">
        <f>VLOOKUP(ABS(Table3[[#This Row],[Type]]),[1]!Table9[#All],2)</f>
        <v>Carpentry</v>
      </c>
    </row>
    <row r="754" spans="1:22" ht="30.75" x14ac:dyDescent="0.45">
      <c r="A754" s="218">
        <v>44858</v>
      </c>
      <c r="B754" t="s">
        <v>809</v>
      </c>
      <c r="C754" s="57">
        <v>7.7</v>
      </c>
      <c r="D754" s="90" t="s">
        <v>177</v>
      </c>
      <c r="E754" t="s">
        <v>810</v>
      </c>
      <c r="F754" s="28"/>
      <c r="G754" s="214">
        <v>1</v>
      </c>
      <c r="H754" s="28">
        <v>72.489999999999995</v>
      </c>
      <c r="I754" s="28"/>
      <c r="J754" s="109">
        <f>(Table3[[#This Row],[QTY]]*Table3[[#This Row],[Supplies Cost]])+Table3[[#This Row],[Tax/Fees]]</f>
        <v>72.489999999999995</v>
      </c>
      <c r="L754" s="4" t="s">
        <v>33</v>
      </c>
      <c r="M754" s="1" t="s">
        <v>47</v>
      </c>
      <c r="N754" s="31"/>
      <c r="O754" s="31"/>
      <c r="P754" s="31"/>
      <c r="Q754" s="31"/>
      <c r="R754" s="31">
        <v>7.74</v>
      </c>
      <c r="S754" s="31"/>
      <c r="T754" s="31" t="s">
        <v>652</v>
      </c>
      <c r="U754" s="31" t="str">
        <f>LEFT(Table3[[#This Row],[Stage]],FIND(".",Table3[[#This Row],[Stage]],1)-1)</f>
        <v>7</v>
      </c>
      <c r="V754" s="31" t="str">
        <f>VLOOKUP(ABS(Table3[[#This Row],[Type]]),[1]!Table9[#All],2)</f>
        <v>Carpentry</v>
      </c>
    </row>
    <row r="755" spans="1:22" x14ac:dyDescent="0.45">
      <c r="A755" s="218">
        <v>44859</v>
      </c>
      <c r="B755" t="s">
        <v>811</v>
      </c>
      <c r="C755" s="57">
        <v>3.8</v>
      </c>
      <c r="D755" s="90" t="s">
        <v>177</v>
      </c>
      <c r="E755" t="s">
        <v>239</v>
      </c>
      <c r="F755" s="28"/>
      <c r="G755" s="214">
        <v>1</v>
      </c>
      <c r="H755" s="28">
        <v>700</v>
      </c>
      <c r="I755" s="28"/>
      <c r="J755" s="109">
        <f>(Table3[[#This Row],[QTY]]*Table3[[#This Row],[Supplies Cost]])+Table3[[#This Row],[Tax/Fees]]</f>
        <v>700</v>
      </c>
      <c r="L755" s="4" t="s">
        <v>33</v>
      </c>
      <c r="M755" s="1" t="s">
        <v>77</v>
      </c>
      <c r="N755" s="31"/>
      <c r="O755" s="31"/>
      <c r="P755" s="31"/>
      <c r="Q755" s="31"/>
      <c r="R755" s="31">
        <v>3.85</v>
      </c>
      <c r="S755" s="31"/>
      <c r="T755" s="31" t="s">
        <v>120</v>
      </c>
      <c r="U755" s="31" t="str">
        <f>LEFT(Table3[[#This Row],[Stage]],FIND(".",Table3[[#This Row],[Stage]],1)-1)</f>
        <v>3</v>
      </c>
      <c r="V755" s="31" t="str">
        <f>VLOOKUP(ABS(Table3[[#This Row],[Type]]),[1]!Table9[#All],2)</f>
        <v>Masonary</v>
      </c>
    </row>
    <row r="756" spans="1:22" x14ac:dyDescent="0.45">
      <c r="A756" s="218">
        <v>44859</v>
      </c>
      <c r="B756" t="s">
        <v>104</v>
      </c>
      <c r="C756" s="57">
        <v>8.0399999999999991</v>
      </c>
      <c r="D756" s="57" t="s">
        <v>489</v>
      </c>
      <c r="E756" t="s">
        <v>104</v>
      </c>
      <c r="F756" s="28"/>
      <c r="G756" s="214">
        <v>1</v>
      </c>
      <c r="H756" s="28">
        <v>70.209999999999994</v>
      </c>
      <c r="I756" s="28"/>
      <c r="J756" s="109">
        <f>(Table3[[#This Row],[QTY]]*Table3[[#This Row],[Supplies Cost]])+Table3[[#This Row],[Tax/Fees]]</f>
        <v>70.209999999999994</v>
      </c>
      <c r="L756" s="4" t="s">
        <v>33</v>
      </c>
      <c r="M756" s="1" t="s">
        <v>77</v>
      </c>
      <c r="N756" s="31"/>
      <c r="O756" s="31"/>
      <c r="P756" s="31"/>
      <c r="Q756" s="31"/>
      <c r="R756" s="31">
        <v>8.0434999999999999</v>
      </c>
      <c r="S756" s="31"/>
      <c r="T756" s="31" t="s">
        <v>60</v>
      </c>
      <c r="U756" s="31" t="str">
        <f>LEFT(Table3[[#This Row],[Stage]],FIND(".",Table3[[#This Row],[Stage]],1)-1)</f>
        <v>8</v>
      </c>
      <c r="V756" s="31" t="str">
        <f>VLOOKUP(ABS(Table3[[#This Row],[Type]]),[1]!Table9[#All],2)</f>
        <v>Administrative</v>
      </c>
    </row>
    <row r="757" spans="1:22" x14ac:dyDescent="0.45">
      <c r="A757" s="218">
        <v>44859</v>
      </c>
      <c r="B757" t="s">
        <v>812</v>
      </c>
      <c r="C757" s="57">
        <v>1.1100000000000001</v>
      </c>
      <c r="D757" s="90" t="s">
        <v>122</v>
      </c>
      <c r="E757" t="s">
        <v>813</v>
      </c>
      <c r="F757" s="28"/>
      <c r="G757" s="214">
        <v>1</v>
      </c>
      <c r="H757" s="28">
        <v>2000</v>
      </c>
      <c r="I757" s="28"/>
      <c r="J757" s="109">
        <f>(Table3[[#This Row],[QTY]]*Table3[[#This Row],[Supplies Cost]])+Table3[[#This Row],[Tax/Fees]]</f>
        <v>2000</v>
      </c>
      <c r="L757" s="4" t="s">
        <v>33</v>
      </c>
      <c r="M757" s="1" t="s">
        <v>124</v>
      </c>
      <c r="N757" s="31"/>
      <c r="O757" s="31"/>
      <c r="P757" s="31"/>
      <c r="Q757" s="31"/>
      <c r="R757" s="31">
        <v>7.74</v>
      </c>
      <c r="S757" s="31"/>
      <c r="T757" s="31" t="s">
        <v>60</v>
      </c>
      <c r="U757" s="31" t="str">
        <f>LEFT(Table3[[#This Row],[Stage]],FIND(".",Table3[[#This Row],[Stage]],1)-1)</f>
        <v>1</v>
      </c>
      <c r="V757" s="31" t="str">
        <f>VLOOKUP(ABS(Table3[[#This Row],[Type]]),[1]!Table9[#All],2)</f>
        <v>Transfers</v>
      </c>
    </row>
    <row r="758" spans="1:22" x14ac:dyDescent="0.45">
      <c r="A758" s="218">
        <v>44860</v>
      </c>
      <c r="B758" t="s">
        <v>104</v>
      </c>
      <c r="C758" s="34">
        <v>8.0399999999999991</v>
      </c>
      <c r="D758" s="34" t="s">
        <v>489</v>
      </c>
      <c r="E758" t="s">
        <v>104</v>
      </c>
      <c r="F758" s="28"/>
      <c r="G758" s="214">
        <v>1</v>
      </c>
      <c r="H758" s="28">
        <v>29.66</v>
      </c>
      <c r="I758" s="28"/>
      <c r="J758" s="109">
        <f>(Table3[[#This Row],[QTY]]*Table3[[#This Row],[Supplies Cost]])+Table3[[#This Row],[Tax/Fees]]</f>
        <v>29.66</v>
      </c>
      <c r="L758" s="4" t="s">
        <v>33</v>
      </c>
      <c r="M758" s="1" t="s">
        <v>77</v>
      </c>
      <c r="N758" s="31"/>
      <c r="O758" s="31"/>
      <c r="P758" s="31"/>
      <c r="Q758" s="31"/>
      <c r="R758" s="31">
        <v>8.0455000000000005</v>
      </c>
      <c r="S758" s="31"/>
      <c r="T758" s="31" t="s">
        <v>60</v>
      </c>
      <c r="U758" s="31" t="str">
        <f>LEFT(Table3[[#This Row],[Stage]],FIND(".",Table3[[#This Row],[Stage]],1)-1)</f>
        <v>8</v>
      </c>
      <c r="V758" s="31" t="str">
        <f>VLOOKUP(ABS(Table3[[#This Row],[Type]]),[1]!Table9[#All],2)</f>
        <v>Administrative</v>
      </c>
    </row>
    <row r="759" spans="1:22" ht="30.75" x14ac:dyDescent="0.45">
      <c r="A759" s="218">
        <v>44863</v>
      </c>
      <c r="B759" t="s">
        <v>814</v>
      </c>
      <c r="C759" s="34">
        <v>7.7</v>
      </c>
      <c r="D759" s="27" t="s">
        <v>177</v>
      </c>
      <c r="E759" t="s">
        <v>71</v>
      </c>
      <c r="F759" s="28"/>
      <c r="G759" s="214">
        <v>1</v>
      </c>
      <c r="H759" s="28">
        <v>43.33</v>
      </c>
      <c r="I759" s="28"/>
      <c r="J759" s="109">
        <f>(Table3[[#This Row],[QTY]]*Table3[[#This Row],[Supplies Cost]])+Table3[[#This Row],[Tax/Fees]]</f>
        <v>43.33</v>
      </c>
      <c r="L759" s="4" t="s">
        <v>33</v>
      </c>
      <c r="M759" s="1" t="s">
        <v>47</v>
      </c>
      <c r="N759" s="31" t="s">
        <v>479</v>
      </c>
      <c r="O759" s="31"/>
      <c r="P759" s="31"/>
      <c r="Q759" s="31"/>
      <c r="R759" s="31">
        <v>7.7350000000000003</v>
      </c>
      <c r="S759" s="31"/>
      <c r="T759" s="31" t="s">
        <v>652</v>
      </c>
      <c r="U759" s="31" t="str">
        <f>LEFT(Table3[[#This Row],[Stage]],FIND(".",Table3[[#This Row],[Stage]],1)-1)</f>
        <v>7</v>
      </c>
      <c r="V759" s="31" t="str">
        <f>VLOOKUP(ABS(Table3[[#This Row],[Type]]),[1]!Table9[#All],2)</f>
        <v>Carpentry</v>
      </c>
    </row>
    <row r="760" spans="1:22" x14ac:dyDescent="0.45">
      <c r="A760" s="218">
        <v>44863</v>
      </c>
      <c r="B760" t="s">
        <v>815</v>
      </c>
      <c r="C760" s="25">
        <v>26.2</v>
      </c>
      <c r="D760" s="152" t="s">
        <v>177</v>
      </c>
      <c r="E760" t="s">
        <v>816</v>
      </c>
      <c r="F760" s="28"/>
      <c r="G760" s="214">
        <v>1</v>
      </c>
      <c r="H760" s="28">
        <v>21.22</v>
      </c>
      <c r="I760" s="28"/>
      <c r="J760" s="109">
        <f>(Table3[[#This Row],[QTY]]*Table3[[#This Row],[Supplies Cost]])+Table3[[#This Row],[Tax/Fees]]</f>
        <v>21.22</v>
      </c>
      <c r="L760" s="4" t="s">
        <v>33</v>
      </c>
      <c r="M760" s="1" t="s">
        <v>47</v>
      </c>
      <c r="N760" s="31" t="s">
        <v>479</v>
      </c>
      <c r="O760" s="31"/>
      <c r="P760" s="31"/>
      <c r="Q760" s="31"/>
      <c r="R760" s="31">
        <v>26.24</v>
      </c>
      <c r="S760" s="31"/>
      <c r="T760" s="31" t="s">
        <v>526</v>
      </c>
      <c r="U760" s="31" t="str">
        <f>LEFT(Table3[[#This Row],[Stage]],FIND(".",Table3[[#This Row],[Stage]],1)-1)</f>
        <v>26</v>
      </c>
      <c r="V760" s="31" t="str">
        <f>VLOOKUP(ABS(Table3[[#This Row],[Type]]),[1]!Table9[#All],2)</f>
        <v>Painting</v>
      </c>
    </row>
    <row r="761" spans="1:22" x14ac:dyDescent="0.45">
      <c r="A761" s="218">
        <v>44865</v>
      </c>
      <c r="B761" t="s">
        <v>104</v>
      </c>
      <c r="C761" s="34">
        <v>8.0399999999999991</v>
      </c>
      <c r="D761" s="34" t="s">
        <v>489</v>
      </c>
      <c r="E761" t="s">
        <v>104</v>
      </c>
      <c r="F761" s="28"/>
      <c r="G761" s="214">
        <v>1</v>
      </c>
      <c r="H761" s="28">
        <v>1.05</v>
      </c>
      <c r="I761" s="28"/>
      <c r="J761" s="109">
        <f>(Table3[[#This Row],[QTY]]*Table3[[#This Row],[Supplies Cost]])+Table3[[#This Row],[Tax/Fees]]</f>
        <v>1.05</v>
      </c>
      <c r="L761" s="4" t="s">
        <v>33</v>
      </c>
      <c r="M761" s="1" t="s">
        <v>77</v>
      </c>
      <c r="N761" s="31"/>
      <c r="O761" s="31"/>
      <c r="P761" s="31"/>
      <c r="Q761" s="31"/>
      <c r="R761" s="31">
        <v>8.0459999999999994</v>
      </c>
      <c r="S761" s="31"/>
      <c r="T761" s="31" t="s">
        <v>60</v>
      </c>
      <c r="U761" s="31" t="str">
        <f>LEFT(Table3[[#This Row],[Stage]],FIND(".",Table3[[#This Row],[Stage]],1)-1)</f>
        <v>8</v>
      </c>
      <c r="V761" s="31" t="str">
        <f>VLOOKUP(ABS(Table3[[#This Row],[Type]]),[1]!Table9[#All],2)</f>
        <v>Administrative</v>
      </c>
    </row>
    <row r="762" spans="1:22" ht="30.75" x14ac:dyDescent="0.45">
      <c r="A762" s="218">
        <v>44868</v>
      </c>
      <c r="B762" t="s">
        <v>817</v>
      </c>
      <c r="C762" s="34" t="s">
        <v>431</v>
      </c>
      <c r="D762" s="34">
        <v>26.52</v>
      </c>
      <c r="E762" t="s">
        <v>116</v>
      </c>
      <c r="F762" s="28"/>
      <c r="G762" s="214">
        <v>1</v>
      </c>
      <c r="H762" s="28">
        <v>166.85</v>
      </c>
      <c r="I762" s="28"/>
      <c r="J762" s="109">
        <f>(Table3[[#This Row],[QTY]]*Table3[[#This Row],[Supplies Cost]])+Table3[[#This Row],[Tax/Fees]]</f>
        <v>166.85</v>
      </c>
      <c r="L762" s="4" t="s">
        <v>33</v>
      </c>
      <c r="M762" s="1" t="s">
        <v>77</v>
      </c>
      <c r="N762" s="31"/>
      <c r="O762" s="31"/>
      <c r="P762" s="31"/>
      <c r="Q762" s="31"/>
      <c r="R762" s="31">
        <v>26.526499999999999</v>
      </c>
      <c r="S762" s="31"/>
      <c r="T762" s="31" t="s">
        <v>649</v>
      </c>
      <c r="U762" s="31" t="e">
        <f>LEFT(Table3[[#This Row],[Stage]],FIND(".",Table3[[#This Row],[Stage]],1)-1)</f>
        <v>#VALUE!</v>
      </c>
      <c r="V762" s="31" t="e">
        <f>VLOOKUP(ABS(Table3[[#This Row],[Type]]),[1]!Table9[#All],2)</f>
        <v>#VALUE!</v>
      </c>
    </row>
    <row r="763" spans="1:22" x14ac:dyDescent="0.45">
      <c r="A763" s="218">
        <v>44876</v>
      </c>
      <c r="B763" t="s">
        <v>818</v>
      </c>
      <c r="C763" s="34">
        <v>9.1</v>
      </c>
      <c r="D763" s="27" t="s">
        <v>489</v>
      </c>
      <c r="E763" t="s">
        <v>743</v>
      </c>
      <c r="F763" s="28"/>
      <c r="G763" s="214">
        <v>1</v>
      </c>
      <c r="H763" s="28">
        <v>520</v>
      </c>
      <c r="I763" s="28"/>
      <c r="J763" s="109">
        <f>(Table3[[#This Row],[QTY]]*Table3[[#This Row],[Supplies Cost]])+Table3[[#This Row],[Tax/Fees]]</f>
        <v>520</v>
      </c>
      <c r="L763" s="4" t="s">
        <v>33</v>
      </c>
      <c r="M763" s="1" t="s">
        <v>34</v>
      </c>
      <c r="N763" s="31"/>
      <c r="O763" s="31"/>
      <c r="P763" s="31"/>
      <c r="Q763" s="31"/>
      <c r="R763" s="31">
        <v>9.11</v>
      </c>
      <c r="S763" s="31"/>
      <c r="T763" s="31" t="s">
        <v>672</v>
      </c>
      <c r="U763" s="31" t="str">
        <f>LEFT(Table3[[#This Row],[Stage]],FIND(".",Table3[[#This Row],[Stage]],1)-1)</f>
        <v>9</v>
      </c>
      <c r="V763" s="31">
        <f>VLOOKUP(ABS(Table3[[#This Row],[Type]]),[1]!Table9[#All],2)</f>
        <v>0</v>
      </c>
    </row>
    <row r="764" spans="1:22" ht="30.75" x14ac:dyDescent="0.45">
      <c r="A764" s="218">
        <v>44879</v>
      </c>
      <c r="B764" t="s">
        <v>819</v>
      </c>
      <c r="C764" s="34" t="s">
        <v>431</v>
      </c>
      <c r="D764" s="57">
        <v>26.52</v>
      </c>
      <c r="E764" t="s">
        <v>470</v>
      </c>
      <c r="F764" s="28"/>
      <c r="G764" s="214">
        <v>1</v>
      </c>
      <c r="H764" s="28">
        <v>3200</v>
      </c>
      <c r="I764" s="28"/>
      <c r="J764" s="109">
        <f>(Table3[[#This Row],[QTY]]*Table3[[#This Row],[Supplies Cost]])+Table3[[#This Row],[Tax/Fees]]</f>
        <v>3200</v>
      </c>
      <c r="L764" s="4" t="s">
        <v>92</v>
      </c>
      <c r="M764" s="1" t="s">
        <v>34</v>
      </c>
      <c r="N764" s="31"/>
      <c r="O764" s="31" t="s">
        <v>820</v>
      </c>
      <c r="P764" s="31"/>
      <c r="Q764" s="31"/>
      <c r="R764" s="31"/>
      <c r="S764" s="31"/>
      <c r="T764" s="31" t="s">
        <v>821</v>
      </c>
      <c r="U764" s="31" t="e">
        <f>LEFT(Table3[[#This Row],[Stage]],FIND(".",Table3[[#This Row],[Stage]],1)-1)</f>
        <v>#VALUE!</v>
      </c>
      <c r="V764" s="31" t="e">
        <f>VLOOKUP(ABS(Table3[[#This Row],[Type]]),[1]!Table9[#All],2)</f>
        <v>#VALUE!</v>
      </c>
    </row>
    <row r="765" spans="1:22" ht="30.75" x14ac:dyDescent="0.45">
      <c r="A765" s="218">
        <v>44879</v>
      </c>
      <c r="B765" t="s">
        <v>822</v>
      </c>
      <c r="C765" s="34">
        <v>26.52</v>
      </c>
      <c r="D765" s="152" t="s">
        <v>358</v>
      </c>
      <c r="E765" s="25" t="s">
        <v>470</v>
      </c>
      <c r="F765" s="28"/>
      <c r="G765" s="214">
        <v>1</v>
      </c>
      <c r="H765" s="28">
        <v>2500</v>
      </c>
      <c r="I765" s="28"/>
      <c r="J765" s="109">
        <f>(Table3[[#This Row],[QTY]]*Table3[[#This Row],[Supplies Cost]])+Table3[[#This Row],[Tax/Fees]]</f>
        <v>2500</v>
      </c>
      <c r="K765" s="203">
        <v>5700</v>
      </c>
      <c r="L765" s="4" t="s">
        <v>33</v>
      </c>
      <c r="M765" s="1" t="s">
        <v>34</v>
      </c>
      <c r="N765" s="31"/>
      <c r="O765" s="31" t="s">
        <v>820</v>
      </c>
      <c r="P765" s="31"/>
      <c r="Q765" s="31"/>
      <c r="R765" s="31">
        <v>26.521999999999998</v>
      </c>
      <c r="S765" s="31"/>
      <c r="T765" s="31" t="s">
        <v>821</v>
      </c>
      <c r="U765" s="31" t="str">
        <f>LEFT(Table3[[#This Row],[Stage]],FIND(".",Table3[[#This Row],[Stage]],1)-1)</f>
        <v>26</v>
      </c>
      <c r="V765" s="31" t="str">
        <f>VLOOKUP(ABS(Table3[[#This Row],[Type]]),[1]!Table9[#All],2)</f>
        <v>Painting</v>
      </c>
    </row>
    <row r="766" spans="1:22" x14ac:dyDescent="0.45">
      <c r="A766" s="226">
        <v>44890</v>
      </c>
      <c r="B766" s="227" t="s">
        <v>823</v>
      </c>
      <c r="C766" s="228">
        <v>9.1</v>
      </c>
      <c r="D766" s="229" t="s">
        <v>489</v>
      </c>
      <c r="E766" s="227" t="s">
        <v>743</v>
      </c>
      <c r="F766" s="230"/>
      <c r="G766" s="231"/>
      <c r="H766" s="230">
        <v>720</v>
      </c>
      <c r="I766" s="232"/>
      <c r="J766" s="233">
        <f>(Table3[[#This Row],[QTY]]*Table3[[#This Row],[Supplies Cost]])+Table3[[#This Row],[Tax/Fees]]</f>
        <v>0</v>
      </c>
      <c r="K766" s="234"/>
      <c r="L766" s="234"/>
      <c r="M766" s="235" t="s">
        <v>34</v>
      </c>
      <c r="N766" s="157"/>
      <c r="O766" s="157"/>
      <c r="P766" s="157"/>
      <c r="Q766" s="157"/>
      <c r="R766" s="157">
        <v>9.11</v>
      </c>
      <c r="S766" s="157"/>
      <c r="T766" s="157" t="s">
        <v>672</v>
      </c>
      <c r="U766" s="157" t="str">
        <f>LEFT(Table3[[#This Row],[Stage]],FIND(".",Table3[[#This Row],[Stage]],1)-1)</f>
        <v>9</v>
      </c>
      <c r="V766" s="157">
        <f>VLOOKUP(ABS(Table3[[#This Row],[Type]]),[1]!Table9[#All],2)</f>
        <v>0</v>
      </c>
    </row>
    <row r="767" spans="1:22" x14ac:dyDescent="0.45">
      <c r="A767" s="55">
        <v>44912</v>
      </c>
      <c r="B767" t="s">
        <v>824</v>
      </c>
      <c r="C767" s="57">
        <v>26.52</v>
      </c>
      <c r="D767" s="90" t="s">
        <v>358</v>
      </c>
      <c r="E767" t="s">
        <v>470</v>
      </c>
      <c r="F767" s="58"/>
      <c r="G767" s="214">
        <v>1</v>
      </c>
      <c r="H767" s="58">
        <v>210.48</v>
      </c>
      <c r="I767" s="28">
        <v>36.83</v>
      </c>
      <c r="J767" s="109">
        <f>(Table3[[#This Row],[QTY]]*Table3[[#This Row],[Supplies Cost]])+Table3[[#This Row],[Tax/Fees]]</f>
        <v>247.31</v>
      </c>
      <c r="L767" s="4"/>
      <c r="M767" s="1" t="s">
        <v>47</v>
      </c>
      <c r="N767" s="31"/>
      <c r="O767" s="31" t="s">
        <v>825</v>
      </c>
      <c r="P767" s="31"/>
      <c r="Q767" s="31"/>
      <c r="R767" s="31"/>
      <c r="S767" s="31"/>
      <c r="T767" s="31" t="s">
        <v>433</v>
      </c>
      <c r="U767" s="31" t="str">
        <f>LEFT(Table3[[#This Row],[Stage]],FIND(".",Table3[[#This Row],[Stage]],1)-1)</f>
        <v>26</v>
      </c>
      <c r="V767" s="31" t="str">
        <f>VLOOKUP(ABS(Table3[[#This Row],[Type]]),[1]!Table9[#All],2)</f>
        <v>Painting</v>
      </c>
    </row>
    <row r="768" spans="1:22" x14ac:dyDescent="0.45">
      <c r="A768" s="218">
        <v>44912</v>
      </c>
      <c r="B768" t="s">
        <v>826</v>
      </c>
      <c r="C768" s="57">
        <v>26.52</v>
      </c>
      <c r="D768" s="90" t="s">
        <v>358</v>
      </c>
      <c r="E768" t="s">
        <v>470</v>
      </c>
      <c r="F768" s="28"/>
      <c r="G768" s="214">
        <v>1</v>
      </c>
      <c r="H768" s="28">
        <v>47.8</v>
      </c>
      <c r="I768" s="28">
        <v>8.3699999999999992</v>
      </c>
      <c r="J768" s="109">
        <f>(Table3[[#This Row],[QTY]]*Table3[[#This Row],[Supplies Cost]])+Table3[[#This Row],[Tax/Fees]]</f>
        <v>56.169999999999995</v>
      </c>
      <c r="L768" s="4"/>
      <c r="M768" s="1" t="s">
        <v>47</v>
      </c>
      <c r="N768" s="31"/>
      <c r="O768" s="31" t="s">
        <v>825</v>
      </c>
      <c r="P768" s="31"/>
      <c r="Q768" s="31"/>
      <c r="R768" s="31"/>
      <c r="S768" s="31"/>
      <c r="T768" s="31" t="s">
        <v>433</v>
      </c>
      <c r="U768" s="31" t="str">
        <f>LEFT(Table3[[#This Row],[Stage]],FIND(".",Table3[[#This Row],[Stage]],1)-1)</f>
        <v>26</v>
      </c>
      <c r="V768" s="31" t="str">
        <f>VLOOKUP(ABS(Table3[[#This Row],[Type]]),[1]!Table9[#All],2)</f>
        <v>Painting</v>
      </c>
    </row>
    <row r="769" spans="1:22" x14ac:dyDescent="0.45">
      <c r="A769" s="218">
        <v>44912</v>
      </c>
      <c r="B769" t="s">
        <v>827</v>
      </c>
      <c r="C769" s="57">
        <v>26.52</v>
      </c>
      <c r="D769" s="90" t="s">
        <v>358</v>
      </c>
      <c r="E769" t="s">
        <v>470</v>
      </c>
      <c r="F769" s="28"/>
      <c r="G769" s="214">
        <v>1</v>
      </c>
      <c r="H769" s="28">
        <v>149.5</v>
      </c>
      <c r="I769" s="28">
        <v>26.16</v>
      </c>
      <c r="J769" s="109">
        <f>(Table3[[#This Row],[QTY]]*Table3[[#This Row],[Supplies Cost]])+Table3[[#This Row],[Tax/Fees]]</f>
        <v>175.66</v>
      </c>
      <c r="L769" s="4"/>
      <c r="M769" s="1" t="s">
        <v>47</v>
      </c>
      <c r="N769" s="31"/>
      <c r="O769" s="31" t="s">
        <v>825</v>
      </c>
      <c r="P769" s="31"/>
      <c r="Q769" s="31"/>
      <c r="R769" s="31"/>
      <c r="S769" s="31"/>
      <c r="T769" s="31" t="s">
        <v>433</v>
      </c>
      <c r="U769" s="31" t="str">
        <f>LEFT(Table3[[#This Row],[Stage]],FIND(".",Table3[[#This Row],[Stage]],1)-1)</f>
        <v>26</v>
      </c>
      <c r="V769" s="31" t="str">
        <f>VLOOKUP(ABS(Table3[[#This Row],[Type]]),[1]!Table9[#All],2)</f>
        <v>Painting</v>
      </c>
    </row>
    <row r="770" spans="1:22" x14ac:dyDescent="0.45">
      <c r="A770" s="218">
        <v>44912</v>
      </c>
      <c r="B770" t="s">
        <v>828</v>
      </c>
      <c r="C770" s="57">
        <v>26.52</v>
      </c>
      <c r="D770" s="90" t="s">
        <v>358</v>
      </c>
      <c r="E770" t="s">
        <v>470</v>
      </c>
      <c r="F770" s="28"/>
      <c r="G770" s="214">
        <v>1</v>
      </c>
      <c r="H770" s="28">
        <v>248.11</v>
      </c>
      <c r="I770" s="28">
        <v>43.42</v>
      </c>
      <c r="J770" s="109">
        <f>(Table3[[#This Row],[QTY]]*Table3[[#This Row],[Supplies Cost]])+Table3[[#This Row],[Tax/Fees]]</f>
        <v>291.53000000000003</v>
      </c>
      <c r="L770" s="4"/>
      <c r="M770" s="1" t="s">
        <v>47</v>
      </c>
      <c r="N770" s="31"/>
      <c r="O770" s="31" t="s">
        <v>825</v>
      </c>
      <c r="P770" s="31"/>
      <c r="Q770" s="31"/>
      <c r="R770" s="31"/>
      <c r="S770" s="31"/>
      <c r="T770" s="31" t="s">
        <v>433</v>
      </c>
      <c r="U770" s="31" t="str">
        <f>LEFT(Table3[[#This Row],[Stage]],FIND(".",Table3[[#This Row],[Stage]],1)-1)</f>
        <v>26</v>
      </c>
      <c r="V770" s="31" t="str">
        <f>VLOOKUP(ABS(Table3[[#This Row],[Type]]),[1]!Table9[#All],2)</f>
        <v>Painting</v>
      </c>
    </row>
    <row r="771" spans="1:22" x14ac:dyDescent="0.45">
      <c r="A771" s="218">
        <v>44914</v>
      </c>
      <c r="B771" t="s">
        <v>829</v>
      </c>
      <c r="C771" s="57">
        <v>26.52</v>
      </c>
      <c r="D771" s="90" t="s">
        <v>358</v>
      </c>
      <c r="E771" t="s">
        <v>705</v>
      </c>
      <c r="F771" s="28"/>
      <c r="G771" s="214">
        <v>1</v>
      </c>
      <c r="H771" s="28">
        <v>87.96</v>
      </c>
      <c r="I771" s="28"/>
      <c r="J771" s="109">
        <f>(Table3[[#This Row],[QTY]]*Table3[[#This Row],[Supplies Cost]])+Table3[[#This Row],[Tax/Fees]]</f>
        <v>87.96</v>
      </c>
      <c r="L771" s="4"/>
      <c r="M771" s="1" t="s">
        <v>47</v>
      </c>
      <c r="N771" s="31" t="s">
        <v>479</v>
      </c>
      <c r="O771" s="31"/>
      <c r="P771" s="31"/>
      <c r="Q771" s="31"/>
      <c r="R771" s="31"/>
      <c r="S771" s="31"/>
      <c r="T771" s="31" t="s">
        <v>60</v>
      </c>
      <c r="U771" s="31" t="str">
        <f>LEFT(Table3[[#This Row],[Stage]],FIND(".",Table3[[#This Row],[Stage]],1)-1)</f>
        <v>26</v>
      </c>
      <c r="V771" s="31" t="str">
        <f>VLOOKUP(ABS(Table3[[#This Row],[Type]]),[1]!Table9[#All],2)</f>
        <v>Painting</v>
      </c>
    </row>
    <row r="772" spans="1:22" x14ac:dyDescent="0.45">
      <c r="A772" s="55">
        <v>44916</v>
      </c>
      <c r="B772" t="s">
        <v>830</v>
      </c>
      <c r="C772" s="57">
        <v>26.52</v>
      </c>
      <c r="D772" s="90" t="s">
        <v>358</v>
      </c>
      <c r="E772" t="s">
        <v>705</v>
      </c>
      <c r="F772" s="58"/>
      <c r="G772" s="214">
        <v>1</v>
      </c>
      <c r="H772" s="58">
        <v>238.29</v>
      </c>
      <c r="I772" s="58"/>
      <c r="J772" s="109">
        <f>(Table3[[#This Row],[QTY]]*Table3[[#This Row],[Supplies Cost]])+Table3[[#This Row],[Tax/Fees]]</f>
        <v>238.29</v>
      </c>
      <c r="L772" s="4"/>
      <c r="M772" s="1" t="s">
        <v>47</v>
      </c>
      <c r="N772" s="40" t="s">
        <v>479</v>
      </c>
      <c r="O772" s="40"/>
      <c r="P772" s="40"/>
      <c r="Q772" s="40"/>
      <c r="R772" s="40"/>
      <c r="S772" s="40"/>
      <c r="T772" s="40" t="s">
        <v>109</v>
      </c>
      <c r="U772" s="40" t="str">
        <f>LEFT(Table3[[#This Row],[Stage]],FIND(".",Table3[[#This Row],[Stage]],1)-1)</f>
        <v>26</v>
      </c>
      <c r="V772" s="40" t="str">
        <f>VLOOKUP(ABS(Table3[[#This Row],[Type]]),[1]!Table9[#All],2)</f>
        <v>Painting</v>
      </c>
    </row>
    <row r="773" spans="1:22" ht="30.75" x14ac:dyDescent="0.45">
      <c r="A773" s="55">
        <v>44919</v>
      </c>
      <c r="B773" t="s">
        <v>831</v>
      </c>
      <c r="C773" s="57">
        <v>26.52</v>
      </c>
      <c r="D773" s="90" t="s">
        <v>358</v>
      </c>
      <c r="E773" t="s">
        <v>705</v>
      </c>
      <c r="F773" s="58"/>
      <c r="G773" s="214">
        <v>1</v>
      </c>
      <c r="H773" s="58">
        <v>3959.99</v>
      </c>
      <c r="I773" s="58"/>
      <c r="J773" s="109">
        <f>(Table3[[#This Row],[QTY]]*Table3[[#This Row],[Supplies Cost]])+Table3[[#This Row],[Tax/Fees]]</f>
        <v>3959.99</v>
      </c>
      <c r="L773" s="4"/>
      <c r="M773" s="1" t="s">
        <v>47</v>
      </c>
      <c r="N773" s="40" t="s">
        <v>479</v>
      </c>
      <c r="O773" s="40" t="s">
        <v>832</v>
      </c>
      <c r="P773" s="40"/>
      <c r="Q773" s="40"/>
      <c r="R773" s="40"/>
      <c r="S773" s="40"/>
      <c r="T773" s="40" t="s">
        <v>652</v>
      </c>
      <c r="U773" s="40" t="str">
        <f>LEFT(Table3[[#This Row],[Stage]],FIND(".",Table3[[#This Row],[Stage]],1)-1)</f>
        <v>26</v>
      </c>
      <c r="V773" s="40" t="str">
        <f>VLOOKUP(ABS(Table3[[#This Row],[Type]]),[1]!Table9[#All],2)</f>
        <v>Painting</v>
      </c>
    </row>
    <row r="774" spans="1:22" x14ac:dyDescent="0.45">
      <c r="A774" s="55">
        <v>44919</v>
      </c>
      <c r="B774" t="s">
        <v>496</v>
      </c>
      <c r="C774" s="57">
        <v>26.52</v>
      </c>
      <c r="D774" s="90" t="s">
        <v>358</v>
      </c>
      <c r="E774" t="s">
        <v>705</v>
      </c>
      <c r="F774" s="58"/>
      <c r="G774" s="214">
        <v>1</v>
      </c>
      <c r="H774" s="58">
        <f>17.01+17.01+5.94+7</f>
        <v>46.96</v>
      </c>
      <c r="I774" s="58"/>
      <c r="J774" s="109">
        <f>(Table3[[#This Row],[QTY]]*Table3[[#This Row],[Supplies Cost]])+Table3[[#This Row],[Tax/Fees]]</f>
        <v>46.96</v>
      </c>
      <c r="L774" s="4"/>
      <c r="M774" s="1" t="s">
        <v>47</v>
      </c>
      <c r="N774" s="40" t="s">
        <v>479</v>
      </c>
      <c r="O774" s="40" t="s">
        <v>832</v>
      </c>
      <c r="P774" s="40"/>
      <c r="Q774" s="40"/>
      <c r="R774" s="40"/>
      <c r="S774" s="40"/>
      <c r="T774" s="40" t="s">
        <v>60</v>
      </c>
      <c r="U774" s="40" t="str">
        <f>LEFT(Table3[[#This Row],[Stage]],FIND(".",Table3[[#This Row],[Stage]],1)-1)</f>
        <v>26</v>
      </c>
      <c r="V774" s="40" t="str">
        <f>VLOOKUP(ABS(Table3[[#This Row],[Type]]),[1]!Table9[#All],2)</f>
        <v>Painting</v>
      </c>
    </row>
    <row r="775" spans="1:22" x14ac:dyDescent="0.45">
      <c r="A775" s="55">
        <v>44919</v>
      </c>
      <c r="B775" t="s">
        <v>833</v>
      </c>
      <c r="C775" s="57">
        <v>26.52</v>
      </c>
      <c r="D775" s="90" t="s">
        <v>358</v>
      </c>
      <c r="E775" t="s">
        <v>705</v>
      </c>
      <c r="F775" s="58"/>
      <c r="G775" s="214">
        <v>1</v>
      </c>
      <c r="H775" s="58">
        <v>105.97</v>
      </c>
      <c r="I775" s="58"/>
      <c r="J775" s="109">
        <f>(Table3[[#This Row],[QTY]]*Table3[[#This Row],[Supplies Cost]])+Table3[[#This Row],[Tax/Fees]]</f>
        <v>105.97</v>
      </c>
      <c r="L775" s="4"/>
      <c r="M775" s="1" t="s">
        <v>47</v>
      </c>
      <c r="N775" s="40" t="s">
        <v>479</v>
      </c>
      <c r="O775" s="40"/>
      <c r="P775" s="40"/>
      <c r="Q775" s="40"/>
      <c r="R775" s="40"/>
      <c r="S775" s="40"/>
      <c r="T775" s="40" t="s">
        <v>60</v>
      </c>
      <c r="U775" s="40" t="str">
        <f>LEFT(Table3[[#This Row],[Stage]],FIND(".",Table3[[#This Row],[Stage]],1)-1)</f>
        <v>26</v>
      </c>
      <c r="V775" s="40" t="str">
        <f>VLOOKUP(ABS(Table3[[#This Row],[Type]]),[1]!Table9[#All],2)</f>
        <v>Painting</v>
      </c>
    </row>
    <row r="776" spans="1:22" x14ac:dyDescent="0.45">
      <c r="A776" s="55">
        <v>44919</v>
      </c>
      <c r="B776" t="s">
        <v>833</v>
      </c>
      <c r="C776" s="57">
        <v>26.52</v>
      </c>
      <c r="D776" s="90" t="s">
        <v>358</v>
      </c>
      <c r="E776" t="s">
        <v>705</v>
      </c>
      <c r="F776" s="58"/>
      <c r="G776" s="214">
        <v>1</v>
      </c>
      <c r="H776" s="58">
        <v>89.99</v>
      </c>
      <c r="I776" s="58"/>
      <c r="J776" s="109">
        <f>(Table3[[#This Row],[QTY]]*Table3[[#This Row],[Supplies Cost]])+Table3[[#This Row],[Tax/Fees]]</f>
        <v>89.99</v>
      </c>
      <c r="L776" s="4"/>
      <c r="M776" s="1" t="s">
        <v>47</v>
      </c>
      <c r="N776" s="40" t="s">
        <v>479</v>
      </c>
      <c r="O776" s="40"/>
      <c r="P776" s="40"/>
      <c r="Q776" s="40"/>
      <c r="R776" s="40"/>
      <c r="S776" s="40"/>
      <c r="T776" s="40" t="s">
        <v>60</v>
      </c>
      <c r="U776" s="40" t="str">
        <f>LEFT(Table3[[#This Row],[Stage]],FIND(".",Table3[[#This Row],[Stage]],1)-1)</f>
        <v>26</v>
      </c>
      <c r="V776" s="40" t="str">
        <f>VLOOKUP(ABS(Table3[[#This Row],[Type]]),[1]!Table9[#All],2)</f>
        <v>Painting</v>
      </c>
    </row>
    <row r="777" spans="1:22" x14ac:dyDescent="0.45">
      <c r="A777" s="55">
        <v>44919</v>
      </c>
      <c r="B777" t="s">
        <v>834</v>
      </c>
      <c r="C777" s="57">
        <v>26.52</v>
      </c>
      <c r="D777" s="90" t="s">
        <v>358</v>
      </c>
      <c r="E777" t="s">
        <v>705</v>
      </c>
      <c r="F777" s="58"/>
      <c r="G777" s="214">
        <v>1</v>
      </c>
      <c r="H777" s="58">
        <v>124.97</v>
      </c>
      <c r="I777" s="58"/>
      <c r="J777" s="109">
        <f>(Table3[[#This Row],[QTY]]*Table3[[#This Row],[Supplies Cost]])+Table3[[#This Row],[Tax/Fees]]</f>
        <v>124.97</v>
      </c>
      <c r="L777" s="4"/>
      <c r="M777" s="1" t="s">
        <v>47</v>
      </c>
      <c r="N777" s="40" t="s">
        <v>479</v>
      </c>
      <c r="O777" s="40"/>
      <c r="P777" s="40"/>
      <c r="Q777" s="40"/>
      <c r="R777" s="40"/>
      <c r="S777" s="40"/>
      <c r="T777" s="40" t="s">
        <v>60</v>
      </c>
      <c r="U777" s="40" t="str">
        <f>LEFT(Table3[[#This Row],[Stage]],FIND(".",Table3[[#This Row],[Stage]],1)-1)</f>
        <v>26</v>
      </c>
      <c r="V777" s="40" t="str">
        <f>VLOOKUP(ABS(Table3[[#This Row],[Type]]),[1]!Table9[#All],2)</f>
        <v>Painting</v>
      </c>
    </row>
    <row r="778" spans="1:22" x14ac:dyDescent="0.45">
      <c r="A778" s="55">
        <v>44931</v>
      </c>
      <c r="B778" t="s">
        <v>835</v>
      </c>
      <c r="C778" s="57">
        <v>26.52</v>
      </c>
      <c r="D778" s="90" t="s">
        <v>358</v>
      </c>
      <c r="E778" t="s">
        <v>836</v>
      </c>
      <c r="F778" s="58"/>
      <c r="G778" s="214">
        <v>1</v>
      </c>
      <c r="H778" s="58">
        <v>370</v>
      </c>
      <c r="I778" s="58"/>
      <c r="J778" s="109">
        <f>(Table3[[#This Row],[QTY]]*Table3[[#This Row],[Supplies Cost]])+Table3[[#This Row],[Tax/Fees]]</f>
        <v>370</v>
      </c>
      <c r="L778" s="4"/>
      <c r="M778" s="1" t="s">
        <v>47</v>
      </c>
      <c r="N778" s="40" t="s">
        <v>837</v>
      </c>
      <c r="O778" s="40"/>
      <c r="P778" s="40"/>
      <c r="Q778" s="40"/>
      <c r="R778" s="40"/>
      <c r="S778" s="40"/>
      <c r="T778" s="40"/>
      <c r="U778" s="40" t="str">
        <f>LEFT(Table3[[#This Row],[Stage]],FIND(".",Table3[[#This Row],[Stage]],1)-1)</f>
        <v>26</v>
      </c>
      <c r="V778" s="40" t="str">
        <f>VLOOKUP(ABS(Table3[[#This Row],[Type]]),[1]!Table9[#All],2)</f>
        <v>Painting</v>
      </c>
    </row>
    <row r="779" spans="1:22" x14ac:dyDescent="0.45">
      <c r="A779" s="55">
        <v>44931</v>
      </c>
      <c r="B779" t="s">
        <v>835</v>
      </c>
      <c r="C779" s="57">
        <v>26.52</v>
      </c>
      <c r="D779" s="90" t="s">
        <v>358</v>
      </c>
      <c r="E779" t="s">
        <v>836</v>
      </c>
      <c r="F779" s="58"/>
      <c r="G779" s="214">
        <v>1</v>
      </c>
      <c r="H779" s="58">
        <v>300</v>
      </c>
      <c r="I779" s="58"/>
      <c r="J779" s="109">
        <f>(Table3[[#This Row],[QTY]]*Table3[[#This Row],[Supplies Cost]])+Table3[[#This Row],[Tax/Fees]]</f>
        <v>300</v>
      </c>
      <c r="L779" s="4"/>
      <c r="M779" s="1" t="s">
        <v>47</v>
      </c>
      <c r="N779" s="40" t="s">
        <v>479</v>
      </c>
      <c r="O779" s="40"/>
      <c r="P779" s="31"/>
      <c r="Q779" s="31"/>
      <c r="R779" s="31"/>
      <c r="S779" s="31"/>
      <c r="T779" s="31" t="s">
        <v>354</v>
      </c>
      <c r="U779" s="31" t="str">
        <f>LEFT(Table3[[#This Row],[Stage]],FIND(".",Table3[[#This Row],[Stage]],1)-1)</f>
        <v>26</v>
      </c>
      <c r="V779" s="31" t="str">
        <f>VLOOKUP(ABS(Table3[[#This Row],[Type]]),[1]!Table9[#All],2)</f>
        <v>Painting</v>
      </c>
    </row>
    <row r="780" spans="1:22" x14ac:dyDescent="0.45">
      <c r="A780" s="55">
        <v>44978</v>
      </c>
      <c r="B780" t="s">
        <v>838</v>
      </c>
      <c r="C780" s="57">
        <v>26.52</v>
      </c>
      <c r="D780" s="90" t="s">
        <v>358</v>
      </c>
      <c r="E780" t="s">
        <v>470</v>
      </c>
      <c r="F780" s="58"/>
      <c r="G780" s="214">
        <v>26</v>
      </c>
      <c r="H780" s="58">
        <v>250</v>
      </c>
      <c r="I780" s="58"/>
      <c r="J780" s="109">
        <f>(Table3[[#This Row],[QTY]]*Table3[[#This Row],[Supplies Cost]])+Table3[[#This Row],[Tax/Fees]]</f>
        <v>6500</v>
      </c>
      <c r="L780" s="4"/>
      <c r="M780" s="1" t="s">
        <v>34</v>
      </c>
      <c r="N780" s="40"/>
      <c r="O780" s="40" t="s">
        <v>839</v>
      </c>
      <c r="P780" s="40"/>
      <c r="Q780" s="40"/>
      <c r="R780" s="40"/>
      <c r="S780" s="40"/>
      <c r="T780" s="40" t="s">
        <v>433</v>
      </c>
      <c r="U780" s="40" t="str">
        <f>LEFT(Table3[[#This Row],[Stage]],FIND(".",Table3[[#This Row],[Stage]],1)-1)</f>
        <v>26</v>
      </c>
      <c r="V780" s="40" t="str">
        <f>VLOOKUP(ABS(Table3[[#This Row],[Type]]),[1]!Table9[#All],2)</f>
        <v>Painting</v>
      </c>
    </row>
    <row r="781" spans="1:22" x14ac:dyDescent="0.45">
      <c r="A781" s="55">
        <v>44978</v>
      </c>
      <c r="B781" t="s">
        <v>840</v>
      </c>
      <c r="C781" s="57">
        <v>26.52</v>
      </c>
      <c r="D781" s="90" t="s">
        <v>358</v>
      </c>
      <c r="E781" t="s">
        <v>470</v>
      </c>
      <c r="F781" s="58"/>
      <c r="G781" s="214">
        <v>1</v>
      </c>
      <c r="H781" s="58">
        <v>1800</v>
      </c>
      <c r="I781" s="58"/>
      <c r="J781" s="109">
        <f>(Table3[[#This Row],[QTY]]*Table3[[#This Row],[Supplies Cost]])+Table3[[#This Row],[Tax/Fees]]</f>
        <v>1800</v>
      </c>
      <c r="L781" s="4"/>
      <c r="M781" s="1" t="s">
        <v>34</v>
      </c>
      <c r="N781" s="40"/>
      <c r="O781" s="40" t="s">
        <v>839</v>
      </c>
      <c r="P781" s="40"/>
      <c r="Q781" s="40"/>
      <c r="R781" s="40"/>
      <c r="S781" s="40"/>
      <c r="T781" s="40" t="s">
        <v>433</v>
      </c>
      <c r="U781" s="40" t="str">
        <f>LEFT(Table3[[#This Row],[Stage]],FIND(".",Table3[[#This Row],[Stage]],1)-1)</f>
        <v>26</v>
      </c>
      <c r="V781" s="40" t="str">
        <f>VLOOKUP(ABS(Table3[[#This Row],[Type]]),[1]!Table9[#All],2)</f>
        <v>Painting</v>
      </c>
    </row>
    <row r="782" spans="1:22" x14ac:dyDescent="0.45">
      <c r="A782" s="55">
        <v>44978</v>
      </c>
      <c r="B782" t="s">
        <v>841</v>
      </c>
      <c r="C782" s="57">
        <v>26.52</v>
      </c>
      <c r="D782" s="90" t="s">
        <v>358</v>
      </c>
      <c r="E782" t="s">
        <v>470</v>
      </c>
      <c r="F782" s="58"/>
      <c r="G782" s="214">
        <v>1</v>
      </c>
      <c r="H782" s="58">
        <v>378.12</v>
      </c>
      <c r="I782" s="58"/>
      <c r="J782" s="109">
        <f>(Table3[[#This Row],[QTY]]*Table3[[#This Row],[Supplies Cost]])+Table3[[#This Row],[Tax/Fees]]</f>
        <v>378.12</v>
      </c>
      <c r="L782" s="4"/>
      <c r="M782" s="1" t="s">
        <v>47</v>
      </c>
      <c r="N782" s="40"/>
      <c r="O782" s="40" t="s">
        <v>839</v>
      </c>
      <c r="P782" s="40"/>
      <c r="Q782" s="40"/>
      <c r="R782" s="40"/>
      <c r="S782" s="40"/>
      <c r="T782" s="40" t="s">
        <v>433</v>
      </c>
      <c r="U782" s="40" t="str">
        <f>LEFT(Table3[[#This Row],[Stage]],FIND(".",Table3[[#This Row],[Stage]],1)-1)</f>
        <v>26</v>
      </c>
      <c r="V782" s="40" t="str">
        <f>VLOOKUP(ABS(Table3[[#This Row],[Type]]),[1]!Table9[#All],2)</f>
        <v>Painting</v>
      </c>
    </row>
    <row r="783" spans="1:22" x14ac:dyDescent="0.45">
      <c r="A783" s="55">
        <v>45274</v>
      </c>
      <c r="B783" t="s">
        <v>842</v>
      </c>
      <c r="C783" s="57">
        <v>10.38</v>
      </c>
      <c r="D783" s="90" t="s">
        <v>399</v>
      </c>
      <c r="E783" t="s">
        <v>843</v>
      </c>
      <c r="F783" s="58"/>
      <c r="G783" s="214">
        <v>1</v>
      </c>
      <c r="H783" s="58">
        <v>750</v>
      </c>
      <c r="I783" s="58"/>
      <c r="J783" s="109">
        <f>(Table3[[#This Row],[QTY]]*Table3[[#This Row],[Supplies Cost]])+Table3[[#This Row],[Tax/Fees]]</f>
        <v>750</v>
      </c>
      <c r="L783" s="4"/>
      <c r="M783" s="1" t="s">
        <v>34</v>
      </c>
      <c r="N783" s="40" t="s">
        <v>479</v>
      </c>
      <c r="O783" s="40" t="s">
        <v>844</v>
      </c>
      <c r="P783" s="40"/>
      <c r="Q783" s="40"/>
      <c r="R783" s="40"/>
      <c r="S783" s="40"/>
      <c r="T783" s="40" t="s">
        <v>50</v>
      </c>
      <c r="U783" s="40" t="str">
        <f>LEFT(Table3[[#This Row],[Stage]],FIND(".",Table3[[#This Row],[Stage]],1)-1)</f>
        <v>10</v>
      </c>
      <c r="V783" s="40" t="str">
        <f>VLOOKUP(ABS(Table3[[#This Row],[Type]]),[1]!Table9[#All],2)</f>
        <v>Plumbing</v>
      </c>
    </row>
    <row r="784" spans="1:22" x14ac:dyDescent="0.45">
      <c r="A784" s="55" t="s">
        <v>845</v>
      </c>
      <c r="B784" t="s">
        <v>846</v>
      </c>
      <c r="C784" s="57">
        <v>26.52</v>
      </c>
      <c r="D784" s="90" t="s">
        <v>358</v>
      </c>
      <c r="E784" t="s">
        <v>470</v>
      </c>
      <c r="F784" s="58"/>
      <c r="G784" s="214">
        <v>11</v>
      </c>
      <c r="H784" s="58">
        <v>125</v>
      </c>
      <c r="I784" s="58"/>
      <c r="J784" s="109">
        <f>(Table3[[#This Row],[QTY]]*Table3[[#This Row],[Supplies Cost]])+Table3[[#This Row],[Tax/Fees]]</f>
        <v>1375</v>
      </c>
      <c r="L784" s="4"/>
      <c r="M784" s="1" t="s">
        <v>34</v>
      </c>
      <c r="N784" s="40"/>
      <c r="O784" s="40" t="s">
        <v>839</v>
      </c>
      <c r="P784" s="40"/>
      <c r="Q784" s="40"/>
      <c r="R784" s="40"/>
      <c r="S784" s="40"/>
      <c r="T784" s="40" t="s">
        <v>433</v>
      </c>
      <c r="U784" s="40" t="str">
        <f>LEFT(Table3[[#This Row],[Stage]],FIND(".",Table3[[#This Row],[Stage]],1)-1)</f>
        <v>26</v>
      </c>
      <c r="V784" s="40" t="str">
        <f>VLOOKUP(ABS(Table3[[#This Row],[Type]]),[1]!Table9[#All],2)</f>
        <v>Painting</v>
      </c>
    </row>
    <row r="785" spans="1:22" x14ac:dyDescent="0.45">
      <c r="A785" s="55" t="s">
        <v>845</v>
      </c>
      <c r="B785" t="s">
        <v>847</v>
      </c>
      <c r="C785" s="57">
        <v>26.52</v>
      </c>
      <c r="D785" s="90" t="s">
        <v>358</v>
      </c>
      <c r="E785" t="s">
        <v>470</v>
      </c>
      <c r="F785" s="58"/>
      <c r="G785" s="214">
        <v>1</v>
      </c>
      <c r="H785" s="58">
        <v>26.2</v>
      </c>
      <c r="I785" s="58"/>
      <c r="J785" s="109">
        <f>(Table3[[#This Row],[QTY]]*Table3[[#This Row],[Supplies Cost]])+Table3[[#This Row],[Tax/Fees]]</f>
        <v>26.2</v>
      </c>
      <c r="L785" s="4"/>
      <c r="M785" s="1" t="s">
        <v>47</v>
      </c>
      <c r="N785" s="40" t="s">
        <v>837</v>
      </c>
      <c r="O785" s="40"/>
      <c r="P785" s="40"/>
      <c r="Q785" s="40"/>
      <c r="R785" s="40"/>
      <c r="S785" s="40"/>
      <c r="T785" s="40"/>
      <c r="U785" s="40" t="str">
        <f>LEFT(Table3[[#This Row],[Stage]],FIND(".",Table3[[#This Row],[Stage]],1)-1)</f>
        <v>26</v>
      </c>
      <c r="V785" s="40" t="str">
        <f>VLOOKUP(ABS(Table3[[#This Row],[Type]]),[1]!Table9[#All],2)</f>
        <v>Painting</v>
      </c>
    </row>
    <row r="786" spans="1:22" x14ac:dyDescent="0.45">
      <c r="A786" s="55" t="s">
        <v>845</v>
      </c>
      <c r="B786" s="236" t="s">
        <v>848</v>
      </c>
      <c r="C786" s="237">
        <v>5.67</v>
      </c>
      <c r="D786" s="238" t="s">
        <v>489</v>
      </c>
      <c r="E786" s="236" t="s">
        <v>64</v>
      </c>
      <c r="F786" s="239"/>
      <c r="G786" s="240"/>
      <c r="H786" s="239">
        <v>11250</v>
      </c>
      <c r="I786" s="239"/>
      <c r="J786" s="241">
        <f>(Table3[[#This Row],[QTY]]*Table3[[#This Row],[Supplies Cost]])+Table3[[#This Row],[Tax/Fees]]</f>
        <v>0</v>
      </c>
      <c r="K786" s="242"/>
      <c r="L786" s="242"/>
      <c r="M786" s="243" t="s">
        <v>34</v>
      </c>
      <c r="N786" s="244"/>
      <c r="O786" s="244"/>
      <c r="P786" s="244"/>
      <c r="Q786" s="244"/>
      <c r="R786" s="244">
        <v>5.6710000000000003</v>
      </c>
      <c r="S786" s="244"/>
      <c r="T786" s="244" t="s">
        <v>160</v>
      </c>
      <c r="U786" s="244" t="str">
        <f>LEFT(Table3[[#This Row],[Stage]],FIND(".",Table3[[#This Row],[Stage]],1)-1)</f>
        <v>5</v>
      </c>
      <c r="V786" s="244" t="str">
        <f>VLOOKUP(ABS(Table3[[#This Row],[Type]]),[1]!Table9[#All],2)</f>
        <v>Earthworks</v>
      </c>
    </row>
    <row r="787" spans="1:22" x14ac:dyDescent="0.45">
      <c r="A787" s="55" t="s">
        <v>845</v>
      </c>
      <c r="B787" t="s">
        <v>849</v>
      </c>
      <c r="C787" s="57">
        <v>26.52</v>
      </c>
      <c r="D787" s="90" t="s">
        <v>358</v>
      </c>
      <c r="E787" t="s">
        <v>850</v>
      </c>
      <c r="F787" s="58"/>
      <c r="G787" s="214"/>
      <c r="H787" s="58"/>
      <c r="I787" s="58"/>
      <c r="J787" s="109">
        <f>(Table3[[#This Row],[QTY]]*Table3[[#This Row],[Supplies Cost]])+Table3[[#This Row],[Tax/Fees]]</f>
        <v>0</v>
      </c>
      <c r="L787" s="4"/>
      <c r="M787" s="1" t="s">
        <v>47</v>
      </c>
      <c r="N787" s="40" t="s">
        <v>479</v>
      </c>
      <c r="O787" s="40"/>
      <c r="P787" s="40"/>
      <c r="Q787" s="40"/>
      <c r="R787" s="40"/>
      <c r="S787" s="40"/>
      <c r="T787" s="40"/>
      <c r="U787" s="40"/>
      <c r="V787" s="40"/>
    </row>
    <row r="788" spans="1:22" x14ac:dyDescent="0.45">
      <c r="A788" s="55" t="s">
        <v>845</v>
      </c>
      <c r="B788" t="s">
        <v>815</v>
      </c>
      <c r="C788" s="57">
        <v>26.52</v>
      </c>
      <c r="D788" s="90" t="s">
        <v>358</v>
      </c>
      <c r="E788" t="s">
        <v>470</v>
      </c>
      <c r="F788" s="58"/>
      <c r="G788" s="214">
        <v>1</v>
      </c>
      <c r="H788" s="58">
        <v>426.94</v>
      </c>
      <c r="I788" s="58"/>
      <c r="J788" s="109">
        <f>(Table3[[#This Row],[QTY]]*Table3[[#This Row],[Supplies Cost]])+Table3[[#This Row],[Tax/Fees]]</f>
        <v>426.94</v>
      </c>
      <c r="L788" s="4"/>
      <c r="M788" s="1" t="s">
        <v>47</v>
      </c>
      <c r="N788" s="40" t="s">
        <v>479</v>
      </c>
      <c r="O788" s="40"/>
      <c r="P788" s="40"/>
      <c r="Q788" s="40"/>
      <c r="R788" s="40"/>
      <c r="S788" s="40"/>
      <c r="T788" s="40"/>
      <c r="U788" s="40" t="str">
        <f>LEFT(Table3[[#This Row],[Stage]],FIND(".",Table3[[#This Row],[Stage]],1)-1)</f>
        <v>26</v>
      </c>
      <c r="V788" s="40" t="str">
        <f>VLOOKUP(ABS(Table3[[#This Row],[Type]]),[1]!Table9[#All],2)</f>
        <v>Painting</v>
      </c>
    </row>
    <row r="789" spans="1:22" x14ac:dyDescent="0.45">
      <c r="A789" s="55" t="s">
        <v>845</v>
      </c>
      <c r="B789" t="s">
        <v>365</v>
      </c>
      <c r="C789" s="57">
        <v>26.52</v>
      </c>
      <c r="D789" s="90" t="s">
        <v>358</v>
      </c>
      <c r="E789" t="s">
        <v>810</v>
      </c>
      <c r="F789" s="58"/>
      <c r="G789" s="214">
        <v>1</v>
      </c>
      <c r="H789" s="58">
        <v>0</v>
      </c>
      <c r="I789" s="58"/>
      <c r="J789" s="109">
        <f>(Table3[[#This Row],[QTY]]*Table3[[#This Row],[Supplies Cost]])+Table3[[#This Row],[Tax/Fees]]</f>
        <v>0</v>
      </c>
      <c r="L789" s="4"/>
      <c r="M789" s="1" t="s">
        <v>47</v>
      </c>
      <c r="N789" s="40" t="s">
        <v>479</v>
      </c>
      <c r="O789" s="40"/>
      <c r="P789" s="40"/>
      <c r="Q789" s="40"/>
      <c r="R789" s="40"/>
      <c r="S789" s="40"/>
      <c r="T789" s="40"/>
      <c r="U789" s="40" t="str">
        <f>LEFT(Table3[[#This Row],[Stage]],FIND(".",Table3[[#This Row],[Stage]],1)-1)</f>
        <v>26</v>
      </c>
      <c r="V789" s="40" t="str">
        <f>VLOOKUP(ABS(Table3[[#This Row],[Type]]),[1]!Table9[#All],2)</f>
        <v>Painting</v>
      </c>
    </row>
    <row r="790" spans="1:22" x14ac:dyDescent="0.45">
      <c r="A790" s="55" t="s">
        <v>845</v>
      </c>
      <c r="B790" t="s">
        <v>851</v>
      </c>
      <c r="C790" s="57">
        <v>26.52</v>
      </c>
      <c r="D790" s="90" t="s">
        <v>358</v>
      </c>
      <c r="E790" t="s">
        <v>852</v>
      </c>
      <c r="F790" s="58"/>
      <c r="G790" s="214">
        <v>1</v>
      </c>
      <c r="H790" s="58">
        <v>0</v>
      </c>
      <c r="I790" s="58"/>
      <c r="J790" s="109">
        <f>(Table3[[#This Row],[QTY]]*Table3[[#This Row],[Supplies Cost]])+Table3[[#This Row],[Tax/Fees]]</f>
        <v>0</v>
      </c>
      <c r="L790" s="4"/>
      <c r="M790" s="1" t="s">
        <v>47</v>
      </c>
      <c r="N790" s="40" t="s">
        <v>479</v>
      </c>
      <c r="O790" s="40"/>
      <c r="P790" s="40"/>
      <c r="Q790" s="40"/>
      <c r="R790" s="40"/>
      <c r="S790" s="40"/>
      <c r="T790" s="40"/>
      <c r="U790" s="40" t="str">
        <f>LEFT(Table3[[#This Row],[Stage]],FIND(".",Table3[[#This Row],[Stage]],1)-1)</f>
        <v>26</v>
      </c>
      <c r="V790" s="40" t="str">
        <f>VLOOKUP(ABS(Table3[[#This Row],[Type]]),[1]!Table9[#All],2)</f>
        <v>Painting</v>
      </c>
    </row>
    <row r="791" spans="1:22" x14ac:dyDescent="0.45">
      <c r="A791" s="55" t="s">
        <v>845</v>
      </c>
      <c r="B791" t="s">
        <v>853</v>
      </c>
      <c r="C791" s="57">
        <v>26.52</v>
      </c>
      <c r="D791" s="90" t="s">
        <v>358</v>
      </c>
      <c r="E791" t="s">
        <v>854</v>
      </c>
      <c r="F791" s="28"/>
      <c r="G791" s="214">
        <v>1</v>
      </c>
      <c r="H791" s="58">
        <v>0</v>
      </c>
      <c r="I791" s="28"/>
      <c r="J791" s="109">
        <f>(Table3[[#This Row],[QTY]]*Table3[[#This Row],[Supplies Cost]])+Table3[[#This Row],[Tax/Fees]]</f>
        <v>0</v>
      </c>
      <c r="L791" s="4"/>
      <c r="M791" s="1" t="s">
        <v>47</v>
      </c>
      <c r="N791" s="40" t="s">
        <v>479</v>
      </c>
      <c r="O791" s="40"/>
      <c r="P791" s="31"/>
      <c r="Q791" s="31"/>
      <c r="R791" s="31"/>
      <c r="S791" s="31"/>
      <c r="T791" s="40"/>
      <c r="U791" s="31" t="str">
        <f>LEFT(Table3[[#This Row],[Stage]],FIND(".",Table3[[#This Row],[Stage]],1)-1)</f>
        <v>26</v>
      </c>
      <c r="V791" s="31" t="str">
        <f>VLOOKUP(ABS(Table3[[#This Row],[Type]]),[1]!Table9[#All],2)</f>
        <v>Painting</v>
      </c>
    </row>
    <row r="792" spans="1:22" x14ac:dyDescent="0.45">
      <c r="A792" s="55" t="s">
        <v>845</v>
      </c>
      <c r="B792" t="s">
        <v>855</v>
      </c>
      <c r="C792" s="57">
        <v>26.52</v>
      </c>
      <c r="D792" s="90" t="s">
        <v>358</v>
      </c>
      <c r="E792" t="s">
        <v>856</v>
      </c>
      <c r="F792" s="28"/>
      <c r="G792" s="214">
        <v>1</v>
      </c>
      <c r="H792" s="58">
        <v>0</v>
      </c>
      <c r="I792" s="28"/>
      <c r="J792" s="109">
        <f>(Table3[[#This Row],[QTY]]*Table3[[#This Row],[Supplies Cost]])+Table3[[#This Row],[Tax/Fees]]</f>
        <v>0</v>
      </c>
      <c r="L792" s="4"/>
      <c r="M792" s="1" t="s">
        <v>47</v>
      </c>
      <c r="N792" s="40" t="s">
        <v>479</v>
      </c>
      <c r="O792" s="40"/>
      <c r="P792" s="31"/>
      <c r="Q792" s="31"/>
      <c r="R792" s="31"/>
      <c r="S792" s="31"/>
      <c r="T792" s="40"/>
      <c r="U792" s="31" t="str">
        <f>LEFT(Table3[[#This Row],[Stage]],FIND(".",Table3[[#This Row],[Stage]],1)-1)</f>
        <v>26</v>
      </c>
      <c r="V792" s="31" t="str">
        <f>VLOOKUP(ABS(Table3[[#This Row],[Type]]),[1]!Table9[#All],2)</f>
        <v>Painting</v>
      </c>
    </row>
    <row r="793" spans="1:22" x14ac:dyDescent="0.45">
      <c r="A793" s="55" t="s">
        <v>845</v>
      </c>
      <c r="B793" t="s">
        <v>857</v>
      </c>
      <c r="C793" s="57">
        <v>26.52</v>
      </c>
      <c r="D793" s="90" t="s">
        <v>31</v>
      </c>
      <c r="E793" t="s">
        <v>858</v>
      </c>
      <c r="F793" s="28"/>
      <c r="G793" s="214">
        <v>1</v>
      </c>
      <c r="H793" s="58">
        <v>0</v>
      </c>
      <c r="I793" s="28"/>
      <c r="J793" s="109">
        <f>(Table3[[#This Row],[QTY]]*Table3[[#This Row],[Supplies Cost]])+Table3[[#This Row],[Tax/Fees]]</f>
        <v>0</v>
      </c>
      <c r="L793" s="4"/>
      <c r="M793" s="1" t="s">
        <v>47</v>
      </c>
      <c r="N793" s="40" t="s">
        <v>479</v>
      </c>
      <c r="O793" s="31"/>
      <c r="P793" s="31"/>
      <c r="Q793" s="31"/>
      <c r="R793" s="31"/>
      <c r="S793" s="31"/>
      <c r="T793" s="31"/>
      <c r="U793" s="31" t="str">
        <f>LEFT(Table3[[#This Row],[Stage]],FIND(".",Table3[[#This Row],[Stage]],1)-1)</f>
        <v>26</v>
      </c>
      <c r="V793" s="31" t="str">
        <f>VLOOKUP(ABS(Table3[[#This Row],[Type]]),[1]!Table9[#All],2)</f>
        <v>Painting</v>
      </c>
    </row>
  </sheetData>
  <pageMargins left="0.7" right="0.7" top="0.75" bottom="0.75" header="0.3" footer="0.3"/>
  <pageSetup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Const Actual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Sievewright Rogers</dc:creator>
  <cp:lastModifiedBy>Sievewright Rogers</cp:lastModifiedBy>
  <dcterms:created xsi:type="dcterms:W3CDTF">2026-02-17T21:13:52Z</dcterms:created>
  <dcterms:modified xsi:type="dcterms:W3CDTF">2026-02-17T21:23:29Z</dcterms:modified>
</cp:coreProperties>
</file>